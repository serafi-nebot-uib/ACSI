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xdhog/Documents/uib/CS/Y2/ACSI/P5/qnap/"/>
    </mc:Choice>
  </mc:AlternateContent>
  <xr:revisionPtr revIDLastSave="0" documentId="13_ncr:1_{01CB60C1-2785-FB4B-A58D-95D695F8A290}" xr6:coauthVersionLast="47" xr6:coauthVersionMax="47" xr10:uidLastSave="{00000000-0000-0000-0000-000000000000}"/>
  <bookViews>
    <workbookView xWindow="0" yWindow="880" windowWidth="36000" windowHeight="22500" xr2:uid="{C3C8EABE-511B-D742-AF95-B24E6BB54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1" i="1" l="1"/>
  <c r="E54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49" i="1"/>
  <c r="L96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M49" i="1"/>
  <c r="L49" i="1"/>
  <c r="K72" i="1"/>
  <c r="K73" i="1"/>
  <c r="K74" i="1"/>
  <c r="K75" i="1"/>
  <c r="K76" i="1"/>
  <c r="K77" i="1"/>
  <c r="K78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49" i="1"/>
  <c r="R96" i="1"/>
  <c r="Q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Y99" i="1"/>
  <c r="N96" i="1" s="1"/>
  <c r="Y100" i="1"/>
  <c r="J101" i="1" s="1"/>
  <c r="E52" i="1"/>
  <c r="E53" i="1"/>
  <c r="O131" i="1" l="1"/>
  <c r="O130" i="1"/>
  <c r="O129" i="1"/>
  <c r="O128" i="1"/>
  <c r="O125" i="1"/>
  <c r="O124" i="1"/>
  <c r="O115" i="1"/>
  <c r="O114" i="1"/>
  <c r="O145" i="1"/>
  <c r="O111" i="1"/>
  <c r="O143" i="1"/>
  <c r="O110" i="1"/>
  <c r="O142" i="1"/>
  <c r="O107" i="1"/>
  <c r="O141" i="1"/>
  <c r="O106" i="1"/>
  <c r="O138" i="1"/>
  <c r="O123" i="1"/>
  <c r="O105" i="1"/>
  <c r="O137" i="1"/>
  <c r="O122" i="1"/>
  <c r="O104" i="1"/>
  <c r="O136" i="1"/>
  <c r="O119" i="1"/>
  <c r="O103" i="1"/>
  <c r="O135" i="1"/>
  <c r="O118" i="1"/>
  <c r="O102" i="1"/>
  <c r="O134" i="1"/>
  <c r="O117" i="1"/>
  <c r="O101" i="1"/>
  <c r="O133" i="1"/>
  <c r="O116" i="1"/>
  <c r="O100" i="1"/>
  <c r="O140" i="1"/>
  <c r="O127" i="1"/>
  <c r="O113" i="1"/>
  <c r="O99" i="1"/>
  <c r="O139" i="1"/>
  <c r="O126" i="1"/>
  <c r="O112" i="1"/>
  <c r="O98" i="1"/>
  <c r="N142" i="1"/>
  <c r="N141" i="1"/>
  <c r="O121" i="1"/>
  <c r="O109" i="1"/>
  <c r="O97" i="1"/>
  <c r="N143" i="1"/>
  <c r="O144" i="1"/>
  <c r="O132" i="1"/>
  <c r="O120" i="1"/>
  <c r="O108" i="1"/>
  <c r="O96" i="1"/>
  <c r="N130" i="1"/>
  <c r="J105" i="1"/>
  <c r="J104" i="1"/>
  <c r="N129" i="1"/>
  <c r="N119" i="1"/>
  <c r="N118" i="1"/>
  <c r="N106" i="1"/>
  <c r="N131" i="1"/>
  <c r="J103" i="1"/>
  <c r="N117" i="1"/>
  <c r="N107" i="1"/>
  <c r="N105" i="1"/>
  <c r="N116" i="1"/>
  <c r="N115" i="1"/>
  <c r="N140" i="1"/>
  <c r="N128" i="1"/>
  <c r="N104" i="1"/>
  <c r="N139" i="1"/>
  <c r="N127" i="1"/>
  <c r="N103" i="1"/>
  <c r="N138" i="1"/>
  <c r="N126" i="1"/>
  <c r="N114" i="1"/>
  <c r="N102" i="1"/>
  <c r="N137" i="1"/>
  <c r="N125" i="1"/>
  <c r="N113" i="1"/>
  <c r="N101" i="1"/>
  <c r="N136" i="1"/>
  <c r="N124" i="1"/>
  <c r="N112" i="1"/>
  <c r="N100" i="1"/>
  <c r="N135" i="1"/>
  <c r="N123" i="1"/>
  <c r="N111" i="1"/>
  <c r="N99" i="1"/>
  <c r="N134" i="1"/>
  <c r="N122" i="1"/>
  <c r="N110" i="1"/>
  <c r="N98" i="1"/>
  <c r="N145" i="1"/>
  <c r="N133" i="1"/>
  <c r="N121" i="1"/>
  <c r="N109" i="1"/>
  <c r="N97" i="1"/>
  <c r="J106" i="1"/>
  <c r="N144" i="1"/>
  <c r="N132" i="1"/>
  <c r="N120" i="1"/>
  <c r="N108" i="1"/>
  <c r="J145" i="1"/>
  <c r="J144" i="1"/>
  <c r="J120" i="1"/>
  <c r="J135" i="1"/>
  <c r="J134" i="1"/>
  <c r="J100" i="1"/>
  <c r="J143" i="1"/>
  <c r="J99" i="1"/>
  <c r="J137" i="1"/>
  <c r="J119" i="1"/>
  <c r="J98" i="1"/>
  <c r="J136" i="1"/>
  <c r="J118" i="1"/>
  <c r="J117" i="1"/>
  <c r="J116" i="1"/>
  <c r="J133" i="1"/>
  <c r="J115" i="1"/>
  <c r="J132" i="1"/>
  <c r="J112" i="1"/>
  <c r="J131" i="1"/>
  <c r="J111" i="1"/>
  <c r="J97" i="1"/>
  <c r="J142" i="1"/>
  <c r="J130" i="1"/>
  <c r="J124" i="1"/>
  <c r="J110" i="1"/>
  <c r="J96" i="1"/>
  <c r="J141" i="1"/>
  <c r="J129" i="1"/>
  <c r="J123" i="1"/>
  <c r="J109" i="1"/>
  <c r="J140" i="1"/>
  <c r="J128" i="1"/>
  <c r="J122" i="1"/>
  <c r="J108" i="1"/>
  <c r="J139" i="1"/>
  <c r="J127" i="1"/>
  <c r="J121" i="1"/>
  <c r="J107" i="1"/>
  <c r="J138" i="1"/>
  <c r="J126" i="1"/>
  <c r="J114" i="1"/>
  <c r="J102" i="1"/>
  <c r="J125" i="1"/>
  <c r="J113" i="1"/>
</calcChain>
</file>

<file path=xl/sharedStrings.xml><?xml version="1.0" encoding="utf-8"?>
<sst xmlns="http://schemas.openxmlformats.org/spreadsheetml/2006/main" count="57" uniqueCount="32">
  <si>
    <t>N</t>
  </si>
  <si>
    <t>R1</t>
  </si>
  <si>
    <t>R2</t>
  </si>
  <si>
    <t>R</t>
  </si>
  <si>
    <t>X</t>
  </si>
  <si>
    <t>N1</t>
  </si>
  <si>
    <t>N2</t>
  </si>
  <si>
    <t>Apartado D</t>
  </si>
  <si>
    <t>Apartado E</t>
  </si>
  <si>
    <t>N*</t>
  </si>
  <si>
    <t>D1</t>
  </si>
  <si>
    <t>D2</t>
  </si>
  <si>
    <t>V1 * S1 = 8 * 0.03 = 0.24</t>
  </si>
  <si>
    <t>V2 * S2 = 7 * 0.1 = 0.7</t>
  </si>
  <si>
    <t>Db</t>
  </si>
  <si>
    <t>max(D1,D2) = max(0.24,0.7) = D2</t>
  </si>
  <si>
    <t>D</t>
  </si>
  <si>
    <t>D1 + D2 = 0.24 + 0.7 = 0.94</t>
  </si>
  <si>
    <t>Z</t>
  </si>
  <si>
    <t>Apartado F</t>
  </si>
  <si>
    <t>R3</t>
  </si>
  <si>
    <t>N3</t>
  </si>
  <si>
    <t>D3</t>
  </si>
  <si>
    <t>V3 * S3 = 3.5 * 0.1 = 0.35</t>
  </si>
  <si>
    <t>V2 * S2 = 3.5 * 0.1 = 0.35</t>
  </si>
  <si>
    <t>max(D1,D2,D3) = max(0.24,0.35,0.35) = D2</t>
  </si>
  <si>
    <t>D1 + D2 + D3 = 0.24 + 0.35 + 0.35 = 0.94</t>
  </si>
  <si>
    <t>1/Db</t>
  </si>
  <si>
    <t>N/(D+Z)</t>
  </si>
  <si>
    <t>1/D1</t>
  </si>
  <si>
    <t>1/D2</t>
  </si>
  <si>
    <t>1/D3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</si>
</sst>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4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/>
    <xf numFmtId="0" fontId="3" fillId="0" borderId="0" xfId="0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10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Productividad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Sheet1!$D$4:$D$33</c:f>
              <c:numCache>
                <c:formatCode>General</c:formatCode>
                <c:ptCount val="30"/>
                <c:pt idx="0">
                  <c:v>0.1119</c:v>
                </c:pt>
                <c:pt idx="1">
                  <c:v>0.22220000000000001</c:v>
                </c:pt>
                <c:pt idx="2">
                  <c:v>0.33069999999999999</c:v>
                </c:pt>
                <c:pt idx="3">
                  <c:v>0.43719999999999998</c:v>
                </c:pt>
                <c:pt idx="4">
                  <c:v>0.54120000000000001</c:v>
                </c:pt>
                <c:pt idx="5">
                  <c:v>0.64219999999999999</c:v>
                </c:pt>
                <c:pt idx="6">
                  <c:v>0.73980000000000001</c:v>
                </c:pt>
                <c:pt idx="7">
                  <c:v>0.83320000000000005</c:v>
                </c:pt>
                <c:pt idx="8">
                  <c:v>0.92190000000000005</c:v>
                </c:pt>
                <c:pt idx="9">
                  <c:v>1.0049999999999999</c:v>
                </c:pt>
                <c:pt idx="10">
                  <c:v>1.081</c:v>
                </c:pt>
                <c:pt idx="11">
                  <c:v>1.151</c:v>
                </c:pt>
                <c:pt idx="12">
                  <c:v>1.212</c:v>
                </c:pt>
                <c:pt idx="13">
                  <c:v>1.2649999999999999</c:v>
                </c:pt>
                <c:pt idx="14">
                  <c:v>1.3089999999999999</c:v>
                </c:pt>
                <c:pt idx="15">
                  <c:v>1.3440000000000001</c:v>
                </c:pt>
                <c:pt idx="16">
                  <c:v>1.371</c:v>
                </c:pt>
                <c:pt idx="17">
                  <c:v>1.391</c:v>
                </c:pt>
                <c:pt idx="18">
                  <c:v>1.405</c:v>
                </c:pt>
                <c:pt idx="19">
                  <c:v>1.4139999999999999</c:v>
                </c:pt>
                <c:pt idx="20">
                  <c:v>1.42</c:v>
                </c:pt>
                <c:pt idx="21">
                  <c:v>1.4239999999999999</c:v>
                </c:pt>
                <c:pt idx="22">
                  <c:v>1.4259999999999999</c:v>
                </c:pt>
                <c:pt idx="23">
                  <c:v>1.427</c:v>
                </c:pt>
                <c:pt idx="24">
                  <c:v>1.4279999999999999</c:v>
                </c:pt>
                <c:pt idx="25">
                  <c:v>1.4279999999999999</c:v>
                </c:pt>
                <c:pt idx="26">
                  <c:v>1.4279999999999999</c:v>
                </c:pt>
                <c:pt idx="27">
                  <c:v>1.429</c:v>
                </c:pt>
                <c:pt idx="28">
                  <c:v>1.429</c:v>
                </c:pt>
                <c:pt idx="29">
                  <c:v>1.429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9-A64B-82B7-092C74A45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099200"/>
        <c:axId val="1090516480"/>
      </c:scatterChart>
      <c:valAx>
        <c:axId val="1090099200"/>
        <c:scaling>
          <c:orientation val="minMax"/>
          <c:max val="3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Trabajos</a:t>
                </a:r>
                <a:r>
                  <a:rPr lang="en-US" baseline="0"/>
                  <a:t> en el sistema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516480"/>
        <c:crosses val="autoZero"/>
        <c:crossBetween val="midCat"/>
      </c:valAx>
      <c:valAx>
        <c:axId val="1090516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Productividad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09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Tiempo de respuesta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Sheet1!$E$4:$E$33</c:f>
              <c:numCache>
                <c:formatCode>General</c:formatCode>
                <c:ptCount val="30"/>
                <c:pt idx="0">
                  <c:v>0.94</c:v>
                </c:pt>
                <c:pt idx="1">
                  <c:v>1.0009999999999999</c:v>
                </c:pt>
                <c:pt idx="2">
                  <c:v>1.071</c:v>
                </c:pt>
                <c:pt idx="3">
                  <c:v>1.149</c:v>
                </c:pt>
                <c:pt idx="4">
                  <c:v>1.2390000000000001</c:v>
                </c:pt>
                <c:pt idx="5">
                  <c:v>1.343</c:v>
                </c:pt>
                <c:pt idx="6">
                  <c:v>1.4630000000000001</c:v>
                </c:pt>
                <c:pt idx="7">
                  <c:v>1.601</c:v>
                </c:pt>
                <c:pt idx="8">
                  <c:v>1.7629999999999999</c:v>
                </c:pt>
                <c:pt idx="9">
                  <c:v>1.9510000000000001</c:v>
                </c:pt>
                <c:pt idx="10">
                  <c:v>2.1709999999999998</c:v>
                </c:pt>
                <c:pt idx="11">
                  <c:v>2.4279999999999999</c:v>
                </c:pt>
                <c:pt idx="12">
                  <c:v>2.7250000000000001</c:v>
                </c:pt>
                <c:pt idx="13">
                  <c:v>3.069</c:v>
                </c:pt>
                <c:pt idx="14">
                  <c:v>3.4620000000000002</c:v>
                </c:pt>
                <c:pt idx="15">
                  <c:v>3.9060000000000001</c:v>
                </c:pt>
                <c:pt idx="16">
                  <c:v>4.399</c:v>
                </c:pt>
                <c:pt idx="17">
                  <c:v>4.9400000000000004</c:v>
                </c:pt>
                <c:pt idx="18">
                  <c:v>5.5229999999999997</c:v>
                </c:pt>
                <c:pt idx="19">
                  <c:v>6.14</c:v>
                </c:pt>
                <c:pt idx="20">
                  <c:v>6.7839999999999998</c:v>
                </c:pt>
                <c:pt idx="21">
                  <c:v>7.4489999999999998</c:v>
                </c:pt>
                <c:pt idx="22">
                  <c:v>8.1270000000000007</c:v>
                </c:pt>
                <c:pt idx="23">
                  <c:v>8.8140000000000001</c:v>
                </c:pt>
                <c:pt idx="24">
                  <c:v>9.5069999999999997</c:v>
                </c:pt>
                <c:pt idx="25">
                  <c:v>10.199999999999999</c:v>
                </c:pt>
                <c:pt idx="26">
                  <c:v>10.9</c:v>
                </c:pt>
                <c:pt idx="27">
                  <c:v>11.6</c:v>
                </c:pt>
                <c:pt idx="28">
                  <c:v>12.3</c:v>
                </c:pt>
                <c:pt idx="29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6-4C4B-AA66-6DCE4DD8B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814927"/>
        <c:axId val="1386845183"/>
      </c:scatterChart>
      <c:valAx>
        <c:axId val="1793814927"/>
        <c:scaling>
          <c:orientation val="minMax"/>
          <c:max val="3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Trabajos en el sistema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845183"/>
        <c:crosses val="autoZero"/>
        <c:crossBetween val="midCat"/>
      </c:valAx>
      <c:valAx>
        <c:axId val="1386845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de respusta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14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Sheet1!$A$96:$A$145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Sheet1!$F$96:$F$145</c:f>
              <c:numCache>
                <c:formatCode>General</c:formatCode>
                <c:ptCount val="50"/>
                <c:pt idx="0">
                  <c:v>0.94</c:v>
                </c:pt>
                <c:pt idx="1">
                  <c:v>0.9738</c:v>
                </c:pt>
                <c:pt idx="2">
                  <c:v>1.01</c:v>
                </c:pt>
                <c:pt idx="3">
                  <c:v>1.048</c:v>
                </c:pt>
                <c:pt idx="4">
                  <c:v>1.0900000000000001</c:v>
                </c:pt>
                <c:pt idx="5">
                  <c:v>1.1339999999999999</c:v>
                </c:pt>
                <c:pt idx="6">
                  <c:v>1.181</c:v>
                </c:pt>
                <c:pt idx="7">
                  <c:v>1.2310000000000001</c:v>
                </c:pt>
                <c:pt idx="8">
                  <c:v>1.286</c:v>
                </c:pt>
                <c:pt idx="9">
                  <c:v>1.3440000000000001</c:v>
                </c:pt>
                <c:pt idx="10">
                  <c:v>1.407</c:v>
                </c:pt>
                <c:pt idx="11">
                  <c:v>1.4750000000000001</c:v>
                </c:pt>
                <c:pt idx="12">
                  <c:v>1.548</c:v>
                </c:pt>
                <c:pt idx="13">
                  <c:v>1.627</c:v>
                </c:pt>
                <c:pt idx="14">
                  <c:v>1.712</c:v>
                </c:pt>
                <c:pt idx="15">
                  <c:v>1.804</c:v>
                </c:pt>
                <c:pt idx="16">
                  <c:v>1.903</c:v>
                </c:pt>
                <c:pt idx="17">
                  <c:v>2.0099999999999998</c:v>
                </c:pt>
                <c:pt idx="18">
                  <c:v>2.1259999999999999</c:v>
                </c:pt>
                <c:pt idx="19">
                  <c:v>2.2509999999999999</c:v>
                </c:pt>
                <c:pt idx="20">
                  <c:v>2.3860000000000001</c:v>
                </c:pt>
                <c:pt idx="21">
                  <c:v>2.5310000000000001</c:v>
                </c:pt>
                <c:pt idx="22">
                  <c:v>2.6859999999999999</c:v>
                </c:pt>
                <c:pt idx="23">
                  <c:v>2.8530000000000002</c:v>
                </c:pt>
                <c:pt idx="24">
                  <c:v>3.0310000000000001</c:v>
                </c:pt>
                <c:pt idx="25">
                  <c:v>3.2210000000000001</c:v>
                </c:pt>
                <c:pt idx="26">
                  <c:v>3.4220000000000002</c:v>
                </c:pt>
                <c:pt idx="27">
                  <c:v>3.6349999999999998</c:v>
                </c:pt>
                <c:pt idx="28">
                  <c:v>3.86</c:v>
                </c:pt>
                <c:pt idx="29">
                  <c:v>4.0949999999999998</c:v>
                </c:pt>
                <c:pt idx="30">
                  <c:v>4.3419999999999996</c:v>
                </c:pt>
                <c:pt idx="31">
                  <c:v>4.5979999999999999</c:v>
                </c:pt>
                <c:pt idx="32">
                  <c:v>4.8639999999999999</c:v>
                </c:pt>
                <c:pt idx="33">
                  <c:v>5.1379999999999999</c:v>
                </c:pt>
                <c:pt idx="34">
                  <c:v>5.4210000000000003</c:v>
                </c:pt>
                <c:pt idx="35">
                  <c:v>5.7110000000000003</c:v>
                </c:pt>
                <c:pt idx="36">
                  <c:v>6.0069999999999997</c:v>
                </c:pt>
                <c:pt idx="37">
                  <c:v>6.3090000000000002</c:v>
                </c:pt>
                <c:pt idx="38">
                  <c:v>6.617</c:v>
                </c:pt>
                <c:pt idx="39">
                  <c:v>6.9279999999999999</c:v>
                </c:pt>
                <c:pt idx="40">
                  <c:v>7.2439999999999998</c:v>
                </c:pt>
                <c:pt idx="41">
                  <c:v>7.5629999999999997</c:v>
                </c:pt>
                <c:pt idx="42">
                  <c:v>7.8860000000000001</c:v>
                </c:pt>
                <c:pt idx="43">
                  <c:v>8.2110000000000003</c:v>
                </c:pt>
                <c:pt idx="44">
                  <c:v>8.5380000000000003</c:v>
                </c:pt>
                <c:pt idx="45">
                  <c:v>8.8670000000000009</c:v>
                </c:pt>
                <c:pt idx="46">
                  <c:v>9.1989999999999998</c:v>
                </c:pt>
                <c:pt idx="47">
                  <c:v>9.5310000000000006</c:v>
                </c:pt>
                <c:pt idx="48">
                  <c:v>9.8659999999999997</c:v>
                </c:pt>
                <c:pt idx="49">
                  <c:v>10.199999999999999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02-094D-82D6-5F34EF9A6BFF}"/>
            </c:ext>
          </c:extLst>
        </c:ser>
        <c:ser>
          <c:idx val="1"/>
          <c:order val="1"/>
          <c:tx>
            <c:v>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Sheet1!$A$96:$A$145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Sheet1!$J$96:$J$145</c:f>
              <c:numCache>
                <c:formatCode>General</c:formatCode>
                <c:ptCount val="50"/>
                <c:pt idx="0">
                  <c:v>0.94</c:v>
                </c:pt>
                <c:pt idx="1">
                  <c:v>0.94</c:v>
                </c:pt>
                <c:pt idx="2">
                  <c:v>0.94</c:v>
                </c:pt>
                <c:pt idx="3">
                  <c:v>0.94</c:v>
                </c:pt>
                <c:pt idx="4">
                  <c:v>0.94</c:v>
                </c:pt>
                <c:pt idx="5">
                  <c:v>0.94</c:v>
                </c:pt>
                <c:pt idx="6">
                  <c:v>0.94</c:v>
                </c:pt>
                <c:pt idx="7">
                  <c:v>0.94</c:v>
                </c:pt>
                <c:pt idx="8">
                  <c:v>0.94</c:v>
                </c:pt>
                <c:pt idx="9">
                  <c:v>0.94</c:v>
                </c:pt>
                <c:pt idx="10">
                  <c:v>0.94</c:v>
                </c:pt>
                <c:pt idx="11">
                  <c:v>0.94</c:v>
                </c:pt>
                <c:pt idx="12">
                  <c:v>0.94</c:v>
                </c:pt>
                <c:pt idx="13">
                  <c:v>0.94</c:v>
                </c:pt>
                <c:pt idx="14">
                  <c:v>0.94</c:v>
                </c:pt>
                <c:pt idx="15">
                  <c:v>0.94</c:v>
                </c:pt>
                <c:pt idx="16">
                  <c:v>0.94</c:v>
                </c:pt>
                <c:pt idx="17">
                  <c:v>0.94</c:v>
                </c:pt>
                <c:pt idx="18">
                  <c:v>0.94</c:v>
                </c:pt>
                <c:pt idx="19">
                  <c:v>0.94</c:v>
                </c:pt>
                <c:pt idx="20">
                  <c:v>0.94</c:v>
                </c:pt>
                <c:pt idx="21">
                  <c:v>0.94</c:v>
                </c:pt>
                <c:pt idx="22">
                  <c:v>0.94</c:v>
                </c:pt>
                <c:pt idx="23">
                  <c:v>0.94</c:v>
                </c:pt>
                <c:pt idx="24">
                  <c:v>0.94</c:v>
                </c:pt>
                <c:pt idx="25">
                  <c:v>0.94</c:v>
                </c:pt>
                <c:pt idx="26">
                  <c:v>0.94</c:v>
                </c:pt>
                <c:pt idx="27">
                  <c:v>0.94</c:v>
                </c:pt>
                <c:pt idx="28">
                  <c:v>0.94</c:v>
                </c:pt>
                <c:pt idx="29">
                  <c:v>0.94</c:v>
                </c:pt>
                <c:pt idx="30">
                  <c:v>0.94</c:v>
                </c:pt>
                <c:pt idx="31">
                  <c:v>0.94</c:v>
                </c:pt>
                <c:pt idx="32">
                  <c:v>0.94</c:v>
                </c:pt>
                <c:pt idx="33">
                  <c:v>0.94</c:v>
                </c:pt>
                <c:pt idx="34">
                  <c:v>0.94</c:v>
                </c:pt>
                <c:pt idx="35">
                  <c:v>0.94</c:v>
                </c:pt>
                <c:pt idx="36">
                  <c:v>0.94</c:v>
                </c:pt>
                <c:pt idx="37">
                  <c:v>0.94</c:v>
                </c:pt>
                <c:pt idx="38">
                  <c:v>0.94</c:v>
                </c:pt>
                <c:pt idx="39">
                  <c:v>0.94</c:v>
                </c:pt>
                <c:pt idx="40">
                  <c:v>0.94</c:v>
                </c:pt>
                <c:pt idx="41">
                  <c:v>0.94</c:v>
                </c:pt>
                <c:pt idx="42">
                  <c:v>0.94</c:v>
                </c:pt>
                <c:pt idx="43">
                  <c:v>0.94</c:v>
                </c:pt>
                <c:pt idx="44">
                  <c:v>0.94</c:v>
                </c:pt>
                <c:pt idx="45">
                  <c:v>0.94</c:v>
                </c:pt>
                <c:pt idx="46">
                  <c:v>0.94</c:v>
                </c:pt>
                <c:pt idx="47">
                  <c:v>0.94</c:v>
                </c:pt>
                <c:pt idx="48">
                  <c:v>0.94</c:v>
                </c:pt>
                <c:pt idx="49">
                  <c:v>0.94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02-094D-82D6-5F34EF9A6BFF}"/>
            </c:ext>
          </c:extLst>
        </c:ser>
        <c:ser>
          <c:idx val="2"/>
          <c:order val="2"/>
          <c:tx>
            <c:v>D1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Sheet1!$A$96:$A$145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Sheet1!$K$96:$K$145</c:f>
              <c:numCache>
                <c:formatCode>0.0000</c:formatCode>
                <c:ptCount val="50"/>
                <c:pt idx="0">
                  <c:v>-7.76</c:v>
                </c:pt>
                <c:pt idx="1">
                  <c:v>-7.52</c:v>
                </c:pt>
                <c:pt idx="2">
                  <c:v>-7.28</c:v>
                </c:pt>
                <c:pt idx="3">
                  <c:v>-7.04</c:v>
                </c:pt>
                <c:pt idx="4">
                  <c:v>-6.8</c:v>
                </c:pt>
                <c:pt idx="5">
                  <c:v>-6.5600000000000005</c:v>
                </c:pt>
                <c:pt idx="6">
                  <c:v>-6.32</c:v>
                </c:pt>
                <c:pt idx="7">
                  <c:v>-6.08</c:v>
                </c:pt>
                <c:pt idx="8">
                  <c:v>-5.84</c:v>
                </c:pt>
                <c:pt idx="9">
                  <c:v>-5.6</c:v>
                </c:pt>
                <c:pt idx="10">
                  <c:v>-5.36</c:v>
                </c:pt>
                <c:pt idx="11">
                  <c:v>-5.12</c:v>
                </c:pt>
                <c:pt idx="12">
                  <c:v>-4.88</c:v>
                </c:pt>
                <c:pt idx="13">
                  <c:v>-4.6400000000000006</c:v>
                </c:pt>
                <c:pt idx="14">
                  <c:v>-4.4000000000000004</c:v>
                </c:pt>
                <c:pt idx="15">
                  <c:v>-4.16</c:v>
                </c:pt>
                <c:pt idx="16">
                  <c:v>-3.92</c:v>
                </c:pt>
                <c:pt idx="17">
                  <c:v>-3.6799999999999997</c:v>
                </c:pt>
                <c:pt idx="18">
                  <c:v>-3.4400000000000004</c:v>
                </c:pt>
                <c:pt idx="19">
                  <c:v>-3.2</c:v>
                </c:pt>
                <c:pt idx="20">
                  <c:v>-2.96</c:v>
                </c:pt>
                <c:pt idx="21">
                  <c:v>-2.7200000000000006</c:v>
                </c:pt>
                <c:pt idx="22">
                  <c:v>-2.4800000000000004</c:v>
                </c:pt>
                <c:pt idx="23">
                  <c:v>-2.2400000000000002</c:v>
                </c:pt>
                <c:pt idx="24">
                  <c:v>-2</c:v>
                </c:pt>
                <c:pt idx="25">
                  <c:v>-1.7599999999999998</c:v>
                </c:pt>
                <c:pt idx="26">
                  <c:v>-1.5200000000000005</c:v>
                </c:pt>
                <c:pt idx="27">
                  <c:v>-1.2800000000000002</c:v>
                </c:pt>
                <c:pt idx="28">
                  <c:v>-1.04</c:v>
                </c:pt>
                <c:pt idx="29">
                  <c:v>-0.80000000000000071</c:v>
                </c:pt>
                <c:pt idx="30">
                  <c:v>-0.5600000000000005</c:v>
                </c:pt>
                <c:pt idx="31">
                  <c:v>-0.32000000000000028</c:v>
                </c:pt>
                <c:pt idx="32">
                  <c:v>-8.0000000000000071E-2</c:v>
                </c:pt>
                <c:pt idx="33">
                  <c:v>0.16000000000000014</c:v>
                </c:pt>
                <c:pt idx="34">
                  <c:v>0.40000000000000036</c:v>
                </c:pt>
                <c:pt idx="35">
                  <c:v>0.64000000000000057</c:v>
                </c:pt>
                <c:pt idx="36">
                  <c:v>0.87999999999999901</c:v>
                </c:pt>
                <c:pt idx="37">
                  <c:v>1.1199999999999992</c:v>
                </c:pt>
                <c:pt idx="38">
                  <c:v>1.3599999999999994</c:v>
                </c:pt>
                <c:pt idx="39">
                  <c:v>1.5999999999999996</c:v>
                </c:pt>
                <c:pt idx="40">
                  <c:v>1.8399999999999999</c:v>
                </c:pt>
                <c:pt idx="41">
                  <c:v>2.08</c:v>
                </c:pt>
                <c:pt idx="42">
                  <c:v>2.3200000000000003</c:v>
                </c:pt>
                <c:pt idx="43">
                  <c:v>2.5599999999999987</c:v>
                </c:pt>
                <c:pt idx="44">
                  <c:v>2.7999999999999989</c:v>
                </c:pt>
                <c:pt idx="45">
                  <c:v>3.0399999999999991</c:v>
                </c:pt>
                <c:pt idx="46">
                  <c:v>3.2799999999999994</c:v>
                </c:pt>
                <c:pt idx="47">
                  <c:v>3.5199999999999996</c:v>
                </c:pt>
                <c:pt idx="48">
                  <c:v>3.76</c:v>
                </c:pt>
                <c:pt idx="49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02-094D-82D6-5F34EF9A6BFF}"/>
            </c:ext>
          </c:extLst>
        </c:ser>
        <c:ser>
          <c:idx val="3"/>
          <c:order val="3"/>
          <c:tx>
            <c:v>D2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Sheet1!$A$96:$A$145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Sheet1!$L$96:$L$145</c:f>
              <c:numCache>
                <c:formatCode>0.0000</c:formatCode>
                <c:ptCount val="50"/>
                <c:pt idx="0">
                  <c:v>-7.65</c:v>
                </c:pt>
                <c:pt idx="1">
                  <c:v>-7.3</c:v>
                </c:pt>
                <c:pt idx="2">
                  <c:v>-6.95</c:v>
                </c:pt>
                <c:pt idx="3">
                  <c:v>-6.6</c:v>
                </c:pt>
                <c:pt idx="4">
                  <c:v>-6.25</c:v>
                </c:pt>
                <c:pt idx="5">
                  <c:v>-5.9</c:v>
                </c:pt>
                <c:pt idx="6">
                  <c:v>-5.5500000000000007</c:v>
                </c:pt>
                <c:pt idx="7">
                  <c:v>-5.2</c:v>
                </c:pt>
                <c:pt idx="8">
                  <c:v>-4.8499999999999996</c:v>
                </c:pt>
                <c:pt idx="9">
                  <c:v>-4.5</c:v>
                </c:pt>
                <c:pt idx="10">
                  <c:v>-4.1500000000000004</c:v>
                </c:pt>
                <c:pt idx="11">
                  <c:v>-3.8000000000000007</c:v>
                </c:pt>
                <c:pt idx="12">
                  <c:v>-3.45</c:v>
                </c:pt>
                <c:pt idx="13">
                  <c:v>-3.1000000000000005</c:v>
                </c:pt>
                <c:pt idx="14">
                  <c:v>-2.75</c:v>
                </c:pt>
                <c:pt idx="15">
                  <c:v>-2.4000000000000004</c:v>
                </c:pt>
                <c:pt idx="16">
                  <c:v>-2.0500000000000007</c:v>
                </c:pt>
                <c:pt idx="17">
                  <c:v>-1.7000000000000002</c:v>
                </c:pt>
                <c:pt idx="18">
                  <c:v>-1.3500000000000005</c:v>
                </c:pt>
                <c:pt idx="19">
                  <c:v>-1</c:v>
                </c:pt>
                <c:pt idx="20">
                  <c:v>-0.65000000000000036</c:v>
                </c:pt>
                <c:pt idx="21">
                  <c:v>-0.30000000000000071</c:v>
                </c:pt>
                <c:pt idx="22">
                  <c:v>4.9999999999998934E-2</c:v>
                </c:pt>
                <c:pt idx="23">
                  <c:v>0.39999999999999858</c:v>
                </c:pt>
                <c:pt idx="24">
                  <c:v>0.75</c:v>
                </c:pt>
                <c:pt idx="25">
                  <c:v>1.0999999999999996</c:v>
                </c:pt>
                <c:pt idx="26">
                  <c:v>1.4499999999999993</c:v>
                </c:pt>
                <c:pt idx="27">
                  <c:v>1.7999999999999989</c:v>
                </c:pt>
                <c:pt idx="28">
                  <c:v>2.1499999999999986</c:v>
                </c:pt>
                <c:pt idx="29">
                  <c:v>2.5</c:v>
                </c:pt>
                <c:pt idx="30">
                  <c:v>2.8499999999999996</c:v>
                </c:pt>
                <c:pt idx="31">
                  <c:v>3.1999999999999993</c:v>
                </c:pt>
                <c:pt idx="32">
                  <c:v>3.5499999999999989</c:v>
                </c:pt>
                <c:pt idx="33">
                  <c:v>3.8999999999999986</c:v>
                </c:pt>
                <c:pt idx="34">
                  <c:v>4.25</c:v>
                </c:pt>
                <c:pt idx="35">
                  <c:v>4.5999999999999996</c:v>
                </c:pt>
                <c:pt idx="36">
                  <c:v>4.9499999999999993</c:v>
                </c:pt>
                <c:pt idx="37">
                  <c:v>5.2999999999999989</c:v>
                </c:pt>
                <c:pt idx="38">
                  <c:v>5.6499999999999986</c:v>
                </c:pt>
                <c:pt idx="39">
                  <c:v>6</c:v>
                </c:pt>
                <c:pt idx="40">
                  <c:v>6.35</c:v>
                </c:pt>
                <c:pt idx="41">
                  <c:v>6.6999999999999993</c:v>
                </c:pt>
                <c:pt idx="42">
                  <c:v>7.0499999999999989</c:v>
                </c:pt>
                <c:pt idx="43">
                  <c:v>7.3999999999999986</c:v>
                </c:pt>
                <c:pt idx="44">
                  <c:v>7.7499999999999982</c:v>
                </c:pt>
                <c:pt idx="45">
                  <c:v>8.0999999999999979</c:v>
                </c:pt>
                <c:pt idx="46">
                  <c:v>8.4499999999999993</c:v>
                </c:pt>
                <c:pt idx="47">
                  <c:v>8.7999999999999972</c:v>
                </c:pt>
                <c:pt idx="48">
                  <c:v>9.1499999999999986</c:v>
                </c:pt>
                <c:pt idx="49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02-094D-82D6-5F34EF9A6BFF}"/>
            </c:ext>
          </c:extLst>
        </c:ser>
        <c:ser>
          <c:idx val="4"/>
          <c:order val="4"/>
          <c:tx>
            <c:v>D3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Sheet1!$A$96:$A$145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Sheet1!$M$96:$M$145</c:f>
              <c:numCache>
                <c:formatCode>0.0000</c:formatCode>
                <c:ptCount val="50"/>
                <c:pt idx="0">
                  <c:v>-7.65</c:v>
                </c:pt>
                <c:pt idx="1">
                  <c:v>-7.3</c:v>
                </c:pt>
                <c:pt idx="2">
                  <c:v>-6.95</c:v>
                </c:pt>
                <c:pt idx="3">
                  <c:v>-6.6</c:v>
                </c:pt>
                <c:pt idx="4">
                  <c:v>-6.25</c:v>
                </c:pt>
                <c:pt idx="5">
                  <c:v>-5.9</c:v>
                </c:pt>
                <c:pt idx="6">
                  <c:v>-5.5500000000000007</c:v>
                </c:pt>
                <c:pt idx="7">
                  <c:v>-5.2</c:v>
                </c:pt>
                <c:pt idx="8">
                  <c:v>-4.8499999999999996</c:v>
                </c:pt>
                <c:pt idx="9">
                  <c:v>-4.5</c:v>
                </c:pt>
                <c:pt idx="10">
                  <c:v>-4.1500000000000004</c:v>
                </c:pt>
                <c:pt idx="11">
                  <c:v>-3.8000000000000007</c:v>
                </c:pt>
                <c:pt idx="12">
                  <c:v>-3.45</c:v>
                </c:pt>
                <c:pt idx="13">
                  <c:v>-3.1000000000000005</c:v>
                </c:pt>
                <c:pt idx="14">
                  <c:v>-2.75</c:v>
                </c:pt>
                <c:pt idx="15">
                  <c:v>-2.4000000000000004</c:v>
                </c:pt>
                <c:pt idx="16">
                  <c:v>-2.0500000000000007</c:v>
                </c:pt>
                <c:pt idx="17">
                  <c:v>-1.7000000000000002</c:v>
                </c:pt>
                <c:pt idx="18">
                  <c:v>-1.3500000000000005</c:v>
                </c:pt>
                <c:pt idx="19">
                  <c:v>-1</c:v>
                </c:pt>
                <c:pt idx="20">
                  <c:v>-0.65000000000000036</c:v>
                </c:pt>
                <c:pt idx="21">
                  <c:v>-0.30000000000000071</c:v>
                </c:pt>
                <c:pt idx="22">
                  <c:v>4.9999999999998934E-2</c:v>
                </c:pt>
                <c:pt idx="23">
                  <c:v>0.39999999999999858</c:v>
                </c:pt>
                <c:pt idx="24">
                  <c:v>0.75</c:v>
                </c:pt>
                <c:pt idx="25">
                  <c:v>1.0999999999999996</c:v>
                </c:pt>
                <c:pt idx="26">
                  <c:v>1.4499999999999993</c:v>
                </c:pt>
                <c:pt idx="27">
                  <c:v>1.7999999999999989</c:v>
                </c:pt>
                <c:pt idx="28">
                  <c:v>2.1499999999999986</c:v>
                </c:pt>
                <c:pt idx="29">
                  <c:v>2.5</c:v>
                </c:pt>
                <c:pt idx="30">
                  <c:v>2.8499999999999996</c:v>
                </c:pt>
                <c:pt idx="31">
                  <c:v>3.1999999999999993</c:v>
                </c:pt>
                <c:pt idx="32">
                  <c:v>3.5499999999999989</c:v>
                </c:pt>
                <c:pt idx="33">
                  <c:v>3.8999999999999986</c:v>
                </c:pt>
                <c:pt idx="34">
                  <c:v>4.25</c:v>
                </c:pt>
                <c:pt idx="35">
                  <c:v>4.5999999999999996</c:v>
                </c:pt>
                <c:pt idx="36">
                  <c:v>4.9499999999999993</c:v>
                </c:pt>
                <c:pt idx="37">
                  <c:v>5.2999999999999989</c:v>
                </c:pt>
                <c:pt idx="38">
                  <c:v>5.6499999999999986</c:v>
                </c:pt>
                <c:pt idx="39">
                  <c:v>6</c:v>
                </c:pt>
                <c:pt idx="40">
                  <c:v>6.35</c:v>
                </c:pt>
                <c:pt idx="41">
                  <c:v>6.6999999999999993</c:v>
                </c:pt>
                <c:pt idx="42">
                  <c:v>7.0499999999999989</c:v>
                </c:pt>
                <c:pt idx="43">
                  <c:v>7.3999999999999986</c:v>
                </c:pt>
                <c:pt idx="44">
                  <c:v>7.7499999999999982</c:v>
                </c:pt>
                <c:pt idx="45">
                  <c:v>8.0999999999999979</c:v>
                </c:pt>
                <c:pt idx="46">
                  <c:v>8.4499999999999993</c:v>
                </c:pt>
                <c:pt idx="47">
                  <c:v>8.7999999999999972</c:v>
                </c:pt>
                <c:pt idx="48">
                  <c:v>9.1499999999999986</c:v>
                </c:pt>
                <c:pt idx="49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502-094D-82D6-5F34EF9A6BFF}"/>
            </c:ext>
          </c:extLst>
        </c:ser>
        <c:ser>
          <c:idx val="5"/>
          <c:order val="5"/>
          <c:tx>
            <c:v>N*</c:v>
          </c:tx>
          <c:spPr>
            <a:ln w="1016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tx1"/>
              </a:solidFill>
              <a:ln w="0">
                <a:solidFill>
                  <a:schemeClr val="accent6"/>
                </a:solidFill>
              </a:ln>
              <a:effectLst/>
            </c:spPr>
          </c:marker>
          <c:xVal>
            <c:numRef>
              <c:f>Sheet1!$Y$101</c:f>
              <c:numCache>
                <c:formatCode>General</c:formatCode>
                <c:ptCount val="1"/>
                <c:pt idx="0">
                  <c:v>26</c:v>
                </c:pt>
              </c:numCache>
            </c:numRef>
          </c:xVal>
          <c:yVal>
            <c:numRef>
              <c:f>Sheet1!$Y$100</c:f>
              <c:numCache>
                <c:formatCode>General</c:formatCode>
                <c:ptCount val="1"/>
                <c:pt idx="0">
                  <c:v>0.94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502-094D-82D6-5F34EF9A6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4880"/>
        <c:axId val="165785392"/>
      </c:scatterChart>
      <c:valAx>
        <c:axId val="166134880"/>
        <c:scaling>
          <c:orientation val="minMax"/>
          <c:max val="5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Trabajos en el sistema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5392"/>
        <c:crosses val="autoZero"/>
        <c:crossBetween val="midCat"/>
      </c:valAx>
      <c:valAx>
        <c:axId val="16578539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de respuesta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4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Sheet1!$A$96:$A$145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Sheet1!$E$96:$E$145</c:f>
              <c:numCache>
                <c:formatCode>General</c:formatCode>
                <c:ptCount val="50"/>
                <c:pt idx="0">
                  <c:v>0.1119</c:v>
                </c:pt>
                <c:pt idx="1">
                  <c:v>0.22289999999999999</c:v>
                </c:pt>
                <c:pt idx="2">
                  <c:v>0.33300000000000002</c:v>
                </c:pt>
                <c:pt idx="3">
                  <c:v>0.44209999999999999</c:v>
                </c:pt>
                <c:pt idx="4">
                  <c:v>0.55010000000000003</c:v>
                </c:pt>
                <c:pt idx="5">
                  <c:v>0.65690000000000004</c:v>
                </c:pt>
                <c:pt idx="6">
                  <c:v>0.76249999999999996</c:v>
                </c:pt>
                <c:pt idx="7">
                  <c:v>0.86660000000000004</c:v>
                </c:pt>
                <c:pt idx="8">
                  <c:v>0.96919999999999995</c:v>
                </c:pt>
                <c:pt idx="9">
                  <c:v>1.07</c:v>
                </c:pt>
                <c:pt idx="10">
                  <c:v>1.169</c:v>
                </c:pt>
                <c:pt idx="11">
                  <c:v>1.2669999999999999</c:v>
                </c:pt>
                <c:pt idx="12">
                  <c:v>1.3620000000000001</c:v>
                </c:pt>
                <c:pt idx="13">
                  <c:v>1.454</c:v>
                </c:pt>
                <c:pt idx="14">
                  <c:v>1.5449999999999999</c:v>
                </c:pt>
                <c:pt idx="15">
                  <c:v>1.6319999999999999</c:v>
                </c:pt>
                <c:pt idx="16">
                  <c:v>1.7170000000000001</c:v>
                </c:pt>
                <c:pt idx="17">
                  <c:v>1.798</c:v>
                </c:pt>
                <c:pt idx="18">
                  <c:v>1.8759999999999999</c:v>
                </c:pt>
                <c:pt idx="19">
                  <c:v>1.9510000000000001</c:v>
                </c:pt>
                <c:pt idx="20">
                  <c:v>2.0219999999999998</c:v>
                </c:pt>
                <c:pt idx="21">
                  <c:v>2.089</c:v>
                </c:pt>
                <c:pt idx="22">
                  <c:v>2.1520000000000001</c:v>
                </c:pt>
                <c:pt idx="23">
                  <c:v>2.2109999999999999</c:v>
                </c:pt>
                <c:pt idx="24">
                  <c:v>2.266</c:v>
                </c:pt>
                <c:pt idx="25">
                  <c:v>2.3170000000000002</c:v>
                </c:pt>
                <c:pt idx="26">
                  <c:v>2.3639999999999999</c:v>
                </c:pt>
                <c:pt idx="27">
                  <c:v>2.4060000000000001</c:v>
                </c:pt>
                <c:pt idx="28">
                  <c:v>2.4449999999999998</c:v>
                </c:pt>
                <c:pt idx="29">
                  <c:v>2.48</c:v>
                </c:pt>
                <c:pt idx="30">
                  <c:v>2.512</c:v>
                </c:pt>
                <c:pt idx="31">
                  <c:v>2.54</c:v>
                </c:pt>
                <c:pt idx="32">
                  <c:v>2.5649999999999999</c:v>
                </c:pt>
                <c:pt idx="33">
                  <c:v>2.5880000000000001</c:v>
                </c:pt>
                <c:pt idx="34">
                  <c:v>2.6080000000000001</c:v>
                </c:pt>
                <c:pt idx="35">
                  <c:v>2.6259999999999999</c:v>
                </c:pt>
                <c:pt idx="36">
                  <c:v>2.641</c:v>
                </c:pt>
                <c:pt idx="37">
                  <c:v>2.6560000000000001</c:v>
                </c:pt>
                <c:pt idx="38">
                  <c:v>2.6680000000000001</c:v>
                </c:pt>
                <c:pt idx="39">
                  <c:v>2.6789999999999998</c:v>
                </c:pt>
                <c:pt idx="40">
                  <c:v>2.69</c:v>
                </c:pt>
                <c:pt idx="41">
                  <c:v>2.6989999999999998</c:v>
                </c:pt>
                <c:pt idx="42">
                  <c:v>2.7069999999999999</c:v>
                </c:pt>
                <c:pt idx="43">
                  <c:v>2.714</c:v>
                </c:pt>
                <c:pt idx="44">
                  <c:v>2.7210000000000001</c:v>
                </c:pt>
                <c:pt idx="45">
                  <c:v>2.7269999999999999</c:v>
                </c:pt>
                <c:pt idx="46">
                  <c:v>2.7330000000000001</c:v>
                </c:pt>
                <c:pt idx="47">
                  <c:v>2.738</c:v>
                </c:pt>
                <c:pt idx="48">
                  <c:v>2.7429999999999999</c:v>
                </c:pt>
                <c:pt idx="49">
                  <c:v>2.7469999999999999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55-394F-8ABE-273B22A018E1}"/>
            </c:ext>
          </c:extLst>
        </c:ser>
        <c:ser>
          <c:idx val="2"/>
          <c:order val="1"/>
          <c:tx>
            <c:v>N/(D+Z)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Sheet1!$A$96:$A$145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Sheet1!$O$96:$O$145</c:f>
              <c:numCache>
                <c:formatCode>0.0000</c:formatCode>
                <c:ptCount val="50"/>
                <c:pt idx="0">
                  <c:v>0.11185682326621925</c:v>
                </c:pt>
                <c:pt idx="1">
                  <c:v>0.2237136465324385</c:v>
                </c:pt>
                <c:pt idx="2">
                  <c:v>0.33557046979865773</c:v>
                </c:pt>
                <c:pt idx="3">
                  <c:v>0.447427293064877</c:v>
                </c:pt>
                <c:pt idx="4">
                  <c:v>0.5592841163310962</c:v>
                </c:pt>
                <c:pt idx="5">
                  <c:v>0.67114093959731547</c:v>
                </c:pt>
                <c:pt idx="6">
                  <c:v>0.78299776286353473</c:v>
                </c:pt>
                <c:pt idx="7">
                  <c:v>0.89485458612975399</c:v>
                </c:pt>
                <c:pt idx="8">
                  <c:v>1.0067114093959733</c:v>
                </c:pt>
                <c:pt idx="9">
                  <c:v>1.1185682326621924</c:v>
                </c:pt>
                <c:pt idx="10">
                  <c:v>1.2304250559284118</c:v>
                </c:pt>
                <c:pt idx="11">
                  <c:v>1.3422818791946309</c:v>
                </c:pt>
                <c:pt idx="12">
                  <c:v>1.4541387024608501</c:v>
                </c:pt>
                <c:pt idx="13">
                  <c:v>1.5659955257270695</c:v>
                </c:pt>
                <c:pt idx="14">
                  <c:v>1.6778523489932886</c:v>
                </c:pt>
                <c:pt idx="15">
                  <c:v>1.789709172259508</c:v>
                </c:pt>
                <c:pt idx="16">
                  <c:v>1.9015659955257271</c:v>
                </c:pt>
                <c:pt idx="17">
                  <c:v>2.0134228187919465</c:v>
                </c:pt>
                <c:pt idx="18">
                  <c:v>2.1252796420581657</c:v>
                </c:pt>
                <c:pt idx="19">
                  <c:v>2.2371364653243848</c:v>
                </c:pt>
                <c:pt idx="20">
                  <c:v>2.348993288590604</c:v>
                </c:pt>
                <c:pt idx="21">
                  <c:v>2.4608501118568236</c:v>
                </c:pt>
                <c:pt idx="22">
                  <c:v>2.5727069351230427</c:v>
                </c:pt>
                <c:pt idx="23">
                  <c:v>2.6845637583892619</c:v>
                </c:pt>
                <c:pt idx="24">
                  <c:v>2.796420581655481</c:v>
                </c:pt>
                <c:pt idx="25">
                  <c:v>2.9082774049217002</c:v>
                </c:pt>
                <c:pt idx="26">
                  <c:v>3.0201342281879198</c:v>
                </c:pt>
                <c:pt idx="27">
                  <c:v>3.1319910514541389</c:v>
                </c:pt>
                <c:pt idx="28">
                  <c:v>3.2438478747203581</c:v>
                </c:pt>
                <c:pt idx="29">
                  <c:v>3.3557046979865772</c:v>
                </c:pt>
                <c:pt idx="30">
                  <c:v>3.4675615212527968</c:v>
                </c:pt>
                <c:pt idx="31">
                  <c:v>3.579418344519016</c:v>
                </c:pt>
                <c:pt idx="32">
                  <c:v>3.6912751677852351</c:v>
                </c:pt>
                <c:pt idx="33">
                  <c:v>3.8031319910514543</c:v>
                </c:pt>
                <c:pt idx="34">
                  <c:v>3.9149888143176734</c:v>
                </c:pt>
                <c:pt idx="35">
                  <c:v>4.026845637583893</c:v>
                </c:pt>
                <c:pt idx="36">
                  <c:v>4.1387024608501122</c:v>
                </c:pt>
                <c:pt idx="37">
                  <c:v>4.2505592841163313</c:v>
                </c:pt>
                <c:pt idx="38">
                  <c:v>4.3624161073825505</c:v>
                </c:pt>
                <c:pt idx="39">
                  <c:v>4.4742729306487696</c:v>
                </c:pt>
                <c:pt idx="40">
                  <c:v>4.5861297539149888</c:v>
                </c:pt>
                <c:pt idx="41">
                  <c:v>4.6979865771812079</c:v>
                </c:pt>
                <c:pt idx="42">
                  <c:v>4.809843400447428</c:v>
                </c:pt>
                <c:pt idx="43">
                  <c:v>4.9217002237136471</c:v>
                </c:pt>
                <c:pt idx="44">
                  <c:v>5.0335570469798663</c:v>
                </c:pt>
                <c:pt idx="45">
                  <c:v>5.1454138702460854</c:v>
                </c:pt>
                <c:pt idx="46">
                  <c:v>5.2572706935123046</c:v>
                </c:pt>
                <c:pt idx="47">
                  <c:v>5.3691275167785237</c:v>
                </c:pt>
                <c:pt idx="48">
                  <c:v>5.4809843400447429</c:v>
                </c:pt>
                <c:pt idx="49">
                  <c:v>5.592841163310962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55-394F-8ABE-273B22A018E1}"/>
            </c:ext>
          </c:extLst>
        </c:ser>
        <c:ser>
          <c:idx val="1"/>
          <c:order val="2"/>
          <c:tx>
            <c:v>1/Db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Sheet1!$A$96:$A$145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Sheet1!$N$96:$N$145</c:f>
              <c:numCache>
                <c:formatCode>0.0000</c:formatCode>
                <c:ptCount val="50"/>
                <c:pt idx="0">
                  <c:v>2.8571428571428572</c:v>
                </c:pt>
                <c:pt idx="1">
                  <c:v>2.8571428571428572</c:v>
                </c:pt>
                <c:pt idx="2">
                  <c:v>2.8571428571428572</c:v>
                </c:pt>
                <c:pt idx="3">
                  <c:v>2.8571428571428572</c:v>
                </c:pt>
                <c:pt idx="4">
                  <c:v>2.8571428571428572</c:v>
                </c:pt>
                <c:pt idx="5">
                  <c:v>2.8571428571428572</c:v>
                </c:pt>
                <c:pt idx="6">
                  <c:v>2.8571428571428572</c:v>
                </c:pt>
                <c:pt idx="7">
                  <c:v>2.8571428571428572</c:v>
                </c:pt>
                <c:pt idx="8">
                  <c:v>2.8571428571428572</c:v>
                </c:pt>
                <c:pt idx="9">
                  <c:v>2.8571428571428572</c:v>
                </c:pt>
                <c:pt idx="10">
                  <c:v>2.8571428571428572</c:v>
                </c:pt>
                <c:pt idx="11">
                  <c:v>2.8571428571428572</c:v>
                </c:pt>
                <c:pt idx="12">
                  <c:v>2.8571428571428572</c:v>
                </c:pt>
                <c:pt idx="13">
                  <c:v>2.8571428571428572</c:v>
                </c:pt>
                <c:pt idx="14">
                  <c:v>2.8571428571428572</c:v>
                </c:pt>
                <c:pt idx="15">
                  <c:v>2.8571428571428572</c:v>
                </c:pt>
                <c:pt idx="16">
                  <c:v>2.8571428571428572</c:v>
                </c:pt>
                <c:pt idx="17">
                  <c:v>2.8571428571428572</c:v>
                </c:pt>
                <c:pt idx="18">
                  <c:v>2.8571428571428572</c:v>
                </c:pt>
                <c:pt idx="19">
                  <c:v>2.8571428571428572</c:v>
                </c:pt>
                <c:pt idx="20">
                  <c:v>2.8571428571428572</c:v>
                </c:pt>
                <c:pt idx="21">
                  <c:v>2.8571428571428572</c:v>
                </c:pt>
                <c:pt idx="22">
                  <c:v>2.8571428571428572</c:v>
                </c:pt>
                <c:pt idx="23">
                  <c:v>2.8571428571428572</c:v>
                </c:pt>
                <c:pt idx="24">
                  <c:v>2.8571428571428572</c:v>
                </c:pt>
                <c:pt idx="25">
                  <c:v>2.8571428571428572</c:v>
                </c:pt>
                <c:pt idx="26">
                  <c:v>2.8571428571428572</c:v>
                </c:pt>
                <c:pt idx="27">
                  <c:v>2.8571428571428572</c:v>
                </c:pt>
                <c:pt idx="28">
                  <c:v>2.8571428571428572</c:v>
                </c:pt>
                <c:pt idx="29">
                  <c:v>2.8571428571428572</c:v>
                </c:pt>
                <c:pt idx="30">
                  <c:v>2.8571428571428572</c:v>
                </c:pt>
                <c:pt idx="31">
                  <c:v>2.8571428571428572</c:v>
                </c:pt>
                <c:pt idx="32">
                  <c:v>2.8571428571428572</c:v>
                </c:pt>
                <c:pt idx="33">
                  <c:v>2.8571428571428572</c:v>
                </c:pt>
                <c:pt idx="34">
                  <c:v>2.8571428571428572</c:v>
                </c:pt>
                <c:pt idx="35">
                  <c:v>2.8571428571428572</c:v>
                </c:pt>
                <c:pt idx="36">
                  <c:v>2.8571428571428572</c:v>
                </c:pt>
                <c:pt idx="37">
                  <c:v>2.8571428571428572</c:v>
                </c:pt>
                <c:pt idx="38">
                  <c:v>2.8571428571428572</c:v>
                </c:pt>
                <c:pt idx="39">
                  <c:v>2.8571428571428572</c:v>
                </c:pt>
                <c:pt idx="40">
                  <c:v>2.8571428571428572</c:v>
                </c:pt>
                <c:pt idx="41">
                  <c:v>2.8571428571428572</c:v>
                </c:pt>
                <c:pt idx="42">
                  <c:v>2.8571428571428572</c:v>
                </c:pt>
                <c:pt idx="43">
                  <c:v>2.8571428571428572</c:v>
                </c:pt>
                <c:pt idx="44">
                  <c:v>2.8571428571428572</c:v>
                </c:pt>
                <c:pt idx="45">
                  <c:v>2.8571428571428572</c:v>
                </c:pt>
                <c:pt idx="46">
                  <c:v>2.8571428571428572</c:v>
                </c:pt>
                <c:pt idx="47">
                  <c:v>2.8571428571428572</c:v>
                </c:pt>
                <c:pt idx="48">
                  <c:v>2.8571428571428572</c:v>
                </c:pt>
                <c:pt idx="49">
                  <c:v>2.8571428571428572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55-394F-8ABE-273B22A018E1}"/>
            </c:ext>
          </c:extLst>
        </c:ser>
        <c:ser>
          <c:idx val="4"/>
          <c:order val="3"/>
          <c:tx>
            <c:v>1/D1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Sheet1!$A$96:$A$145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Sheet1!$P$96:$P$145</c:f>
              <c:numCache>
                <c:formatCode>0.0000</c:formatCode>
                <c:ptCount val="50"/>
                <c:pt idx="0">
                  <c:v>4.166666666666667</c:v>
                </c:pt>
                <c:pt idx="1">
                  <c:v>4.166666666666667</c:v>
                </c:pt>
                <c:pt idx="2">
                  <c:v>4.166666666666667</c:v>
                </c:pt>
                <c:pt idx="3">
                  <c:v>4.166666666666667</c:v>
                </c:pt>
                <c:pt idx="4">
                  <c:v>4.166666666666667</c:v>
                </c:pt>
                <c:pt idx="5">
                  <c:v>4.166666666666667</c:v>
                </c:pt>
                <c:pt idx="6">
                  <c:v>4.166666666666667</c:v>
                </c:pt>
                <c:pt idx="7">
                  <c:v>4.166666666666667</c:v>
                </c:pt>
                <c:pt idx="8">
                  <c:v>4.166666666666667</c:v>
                </c:pt>
                <c:pt idx="9">
                  <c:v>4.166666666666667</c:v>
                </c:pt>
                <c:pt idx="10">
                  <c:v>4.166666666666667</c:v>
                </c:pt>
                <c:pt idx="11">
                  <c:v>4.166666666666667</c:v>
                </c:pt>
                <c:pt idx="12">
                  <c:v>4.166666666666667</c:v>
                </c:pt>
                <c:pt idx="13">
                  <c:v>4.166666666666667</c:v>
                </c:pt>
                <c:pt idx="14">
                  <c:v>4.166666666666667</c:v>
                </c:pt>
                <c:pt idx="15">
                  <c:v>4.166666666666667</c:v>
                </c:pt>
                <c:pt idx="16">
                  <c:v>4.166666666666667</c:v>
                </c:pt>
                <c:pt idx="17">
                  <c:v>4.166666666666667</c:v>
                </c:pt>
                <c:pt idx="18">
                  <c:v>4.166666666666667</c:v>
                </c:pt>
                <c:pt idx="19">
                  <c:v>4.166666666666667</c:v>
                </c:pt>
                <c:pt idx="20">
                  <c:v>4.166666666666667</c:v>
                </c:pt>
                <c:pt idx="21">
                  <c:v>4.166666666666667</c:v>
                </c:pt>
                <c:pt idx="22">
                  <c:v>4.166666666666667</c:v>
                </c:pt>
                <c:pt idx="23">
                  <c:v>4.166666666666667</c:v>
                </c:pt>
                <c:pt idx="24">
                  <c:v>4.166666666666667</c:v>
                </c:pt>
                <c:pt idx="25">
                  <c:v>4.166666666666667</c:v>
                </c:pt>
                <c:pt idx="26">
                  <c:v>4.166666666666667</c:v>
                </c:pt>
                <c:pt idx="27">
                  <c:v>4.166666666666667</c:v>
                </c:pt>
                <c:pt idx="28">
                  <c:v>4.166666666666667</c:v>
                </c:pt>
                <c:pt idx="29">
                  <c:v>4.166666666666667</c:v>
                </c:pt>
                <c:pt idx="30">
                  <c:v>4.166666666666667</c:v>
                </c:pt>
                <c:pt idx="31">
                  <c:v>4.166666666666667</c:v>
                </c:pt>
                <c:pt idx="32">
                  <c:v>4.166666666666667</c:v>
                </c:pt>
                <c:pt idx="33">
                  <c:v>4.166666666666667</c:v>
                </c:pt>
                <c:pt idx="34">
                  <c:v>4.166666666666667</c:v>
                </c:pt>
                <c:pt idx="35">
                  <c:v>4.166666666666667</c:v>
                </c:pt>
                <c:pt idx="36">
                  <c:v>4.166666666666667</c:v>
                </c:pt>
                <c:pt idx="37">
                  <c:v>4.166666666666667</c:v>
                </c:pt>
                <c:pt idx="38">
                  <c:v>4.166666666666667</c:v>
                </c:pt>
                <c:pt idx="39">
                  <c:v>4.166666666666667</c:v>
                </c:pt>
                <c:pt idx="40">
                  <c:v>4.166666666666667</c:v>
                </c:pt>
                <c:pt idx="41">
                  <c:v>4.166666666666667</c:v>
                </c:pt>
                <c:pt idx="42">
                  <c:v>4.166666666666667</c:v>
                </c:pt>
                <c:pt idx="43">
                  <c:v>4.166666666666667</c:v>
                </c:pt>
                <c:pt idx="44">
                  <c:v>4.166666666666667</c:v>
                </c:pt>
                <c:pt idx="45">
                  <c:v>4.166666666666667</c:v>
                </c:pt>
                <c:pt idx="46">
                  <c:v>4.166666666666667</c:v>
                </c:pt>
                <c:pt idx="47">
                  <c:v>4.166666666666667</c:v>
                </c:pt>
                <c:pt idx="48">
                  <c:v>4.166666666666667</c:v>
                </c:pt>
                <c:pt idx="49">
                  <c:v>4.166666666666667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755-394F-8ABE-273B22A018E1}"/>
            </c:ext>
          </c:extLst>
        </c:ser>
        <c:ser>
          <c:idx val="5"/>
          <c:order val="4"/>
          <c:tx>
            <c:v>1/D2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Sheet1!$A$96:$A$145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Sheet1!$Q$96:$Q$145</c:f>
              <c:numCache>
                <c:formatCode>0.0000</c:formatCode>
                <c:ptCount val="50"/>
                <c:pt idx="0">
                  <c:v>2.8571428571428572</c:v>
                </c:pt>
                <c:pt idx="1">
                  <c:v>2.8571428571428572</c:v>
                </c:pt>
                <c:pt idx="2">
                  <c:v>2.8571428571428572</c:v>
                </c:pt>
                <c:pt idx="3">
                  <c:v>2.8571428571428572</c:v>
                </c:pt>
                <c:pt idx="4">
                  <c:v>2.8571428571428572</c:v>
                </c:pt>
                <c:pt idx="5">
                  <c:v>2.8571428571428572</c:v>
                </c:pt>
                <c:pt idx="6">
                  <c:v>2.8571428571428572</c:v>
                </c:pt>
                <c:pt idx="7">
                  <c:v>2.8571428571428572</c:v>
                </c:pt>
                <c:pt idx="8">
                  <c:v>2.8571428571428572</c:v>
                </c:pt>
                <c:pt idx="9">
                  <c:v>2.8571428571428572</c:v>
                </c:pt>
                <c:pt idx="10">
                  <c:v>2.8571428571428572</c:v>
                </c:pt>
                <c:pt idx="11">
                  <c:v>2.8571428571428572</c:v>
                </c:pt>
                <c:pt idx="12">
                  <c:v>2.8571428571428572</c:v>
                </c:pt>
                <c:pt idx="13">
                  <c:v>2.8571428571428572</c:v>
                </c:pt>
                <c:pt idx="14">
                  <c:v>2.8571428571428572</c:v>
                </c:pt>
                <c:pt idx="15">
                  <c:v>2.8571428571428572</c:v>
                </c:pt>
                <c:pt idx="16">
                  <c:v>2.8571428571428572</c:v>
                </c:pt>
                <c:pt idx="17">
                  <c:v>2.8571428571428572</c:v>
                </c:pt>
                <c:pt idx="18">
                  <c:v>2.8571428571428572</c:v>
                </c:pt>
                <c:pt idx="19">
                  <c:v>2.8571428571428572</c:v>
                </c:pt>
                <c:pt idx="20">
                  <c:v>2.8571428571428572</c:v>
                </c:pt>
                <c:pt idx="21">
                  <c:v>2.8571428571428572</c:v>
                </c:pt>
                <c:pt idx="22">
                  <c:v>2.8571428571428572</c:v>
                </c:pt>
                <c:pt idx="23">
                  <c:v>2.8571428571428572</c:v>
                </c:pt>
                <c:pt idx="24">
                  <c:v>2.8571428571428572</c:v>
                </c:pt>
                <c:pt idx="25">
                  <c:v>2.8571428571428572</c:v>
                </c:pt>
                <c:pt idx="26">
                  <c:v>2.8571428571428572</c:v>
                </c:pt>
                <c:pt idx="27">
                  <c:v>2.8571428571428572</c:v>
                </c:pt>
                <c:pt idx="28">
                  <c:v>2.8571428571428572</c:v>
                </c:pt>
                <c:pt idx="29">
                  <c:v>2.8571428571428572</c:v>
                </c:pt>
                <c:pt idx="30">
                  <c:v>2.8571428571428572</c:v>
                </c:pt>
                <c:pt idx="31">
                  <c:v>2.8571428571428572</c:v>
                </c:pt>
                <c:pt idx="32">
                  <c:v>2.8571428571428572</c:v>
                </c:pt>
                <c:pt idx="33">
                  <c:v>2.8571428571428572</c:v>
                </c:pt>
                <c:pt idx="34">
                  <c:v>2.8571428571428572</c:v>
                </c:pt>
                <c:pt idx="35">
                  <c:v>2.8571428571428572</c:v>
                </c:pt>
                <c:pt idx="36">
                  <c:v>2.8571428571428572</c:v>
                </c:pt>
                <c:pt idx="37">
                  <c:v>2.8571428571428572</c:v>
                </c:pt>
                <c:pt idx="38">
                  <c:v>2.8571428571428572</c:v>
                </c:pt>
                <c:pt idx="39">
                  <c:v>2.8571428571428572</c:v>
                </c:pt>
                <c:pt idx="40">
                  <c:v>2.8571428571428572</c:v>
                </c:pt>
                <c:pt idx="41">
                  <c:v>2.8571428571428572</c:v>
                </c:pt>
                <c:pt idx="42">
                  <c:v>2.8571428571428572</c:v>
                </c:pt>
                <c:pt idx="43">
                  <c:v>2.8571428571428572</c:v>
                </c:pt>
                <c:pt idx="44">
                  <c:v>2.8571428571428572</c:v>
                </c:pt>
                <c:pt idx="45">
                  <c:v>2.8571428571428572</c:v>
                </c:pt>
                <c:pt idx="46">
                  <c:v>2.8571428571428572</c:v>
                </c:pt>
                <c:pt idx="47">
                  <c:v>2.8571428571428572</c:v>
                </c:pt>
                <c:pt idx="48">
                  <c:v>2.8571428571428572</c:v>
                </c:pt>
                <c:pt idx="49">
                  <c:v>2.8571428571428572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755-394F-8ABE-273B22A018E1}"/>
            </c:ext>
          </c:extLst>
        </c:ser>
        <c:ser>
          <c:idx val="6"/>
          <c:order val="5"/>
          <c:tx>
            <c:v>1/D3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Sheet1!$A$96:$A$145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Sheet1!$R$96:$R$145</c:f>
              <c:numCache>
                <c:formatCode>0.0000</c:formatCode>
                <c:ptCount val="50"/>
                <c:pt idx="0">
                  <c:v>2.8571428571428572</c:v>
                </c:pt>
                <c:pt idx="1">
                  <c:v>2.8571428571428572</c:v>
                </c:pt>
                <c:pt idx="2">
                  <c:v>2.8571428571428572</c:v>
                </c:pt>
                <c:pt idx="3">
                  <c:v>2.8571428571428572</c:v>
                </c:pt>
                <c:pt idx="4">
                  <c:v>2.8571428571428572</c:v>
                </c:pt>
                <c:pt idx="5">
                  <c:v>2.8571428571428572</c:v>
                </c:pt>
                <c:pt idx="6">
                  <c:v>2.8571428571428572</c:v>
                </c:pt>
                <c:pt idx="7">
                  <c:v>2.8571428571428572</c:v>
                </c:pt>
                <c:pt idx="8">
                  <c:v>2.8571428571428572</c:v>
                </c:pt>
                <c:pt idx="9">
                  <c:v>2.8571428571428572</c:v>
                </c:pt>
                <c:pt idx="10">
                  <c:v>2.8571428571428572</c:v>
                </c:pt>
                <c:pt idx="11">
                  <c:v>2.8571428571428572</c:v>
                </c:pt>
                <c:pt idx="12">
                  <c:v>2.8571428571428572</c:v>
                </c:pt>
                <c:pt idx="13">
                  <c:v>2.8571428571428572</c:v>
                </c:pt>
                <c:pt idx="14">
                  <c:v>2.8571428571428572</c:v>
                </c:pt>
                <c:pt idx="15">
                  <c:v>2.8571428571428572</c:v>
                </c:pt>
                <c:pt idx="16">
                  <c:v>2.8571428571428572</c:v>
                </c:pt>
                <c:pt idx="17">
                  <c:v>2.8571428571428572</c:v>
                </c:pt>
                <c:pt idx="18">
                  <c:v>2.8571428571428572</c:v>
                </c:pt>
                <c:pt idx="19">
                  <c:v>2.8571428571428572</c:v>
                </c:pt>
                <c:pt idx="20">
                  <c:v>2.8571428571428572</c:v>
                </c:pt>
                <c:pt idx="21">
                  <c:v>2.8571428571428572</c:v>
                </c:pt>
                <c:pt idx="22">
                  <c:v>2.8571428571428572</c:v>
                </c:pt>
                <c:pt idx="23">
                  <c:v>2.8571428571428572</c:v>
                </c:pt>
                <c:pt idx="24">
                  <c:v>2.8571428571428572</c:v>
                </c:pt>
                <c:pt idx="25">
                  <c:v>2.8571428571428572</c:v>
                </c:pt>
                <c:pt idx="26">
                  <c:v>2.8571428571428572</c:v>
                </c:pt>
                <c:pt idx="27">
                  <c:v>2.8571428571428572</c:v>
                </c:pt>
                <c:pt idx="28">
                  <c:v>2.8571428571428572</c:v>
                </c:pt>
                <c:pt idx="29">
                  <c:v>2.8571428571428572</c:v>
                </c:pt>
                <c:pt idx="30">
                  <c:v>2.8571428571428572</c:v>
                </c:pt>
                <c:pt idx="31">
                  <c:v>2.8571428571428572</c:v>
                </c:pt>
                <c:pt idx="32">
                  <c:v>2.8571428571428572</c:v>
                </c:pt>
                <c:pt idx="33">
                  <c:v>2.8571428571428572</c:v>
                </c:pt>
                <c:pt idx="34">
                  <c:v>2.8571428571428572</c:v>
                </c:pt>
                <c:pt idx="35">
                  <c:v>2.8571428571428572</c:v>
                </c:pt>
                <c:pt idx="36">
                  <c:v>2.8571428571428572</c:v>
                </c:pt>
                <c:pt idx="37">
                  <c:v>2.8571428571428572</c:v>
                </c:pt>
                <c:pt idx="38">
                  <c:v>2.8571428571428572</c:v>
                </c:pt>
                <c:pt idx="39">
                  <c:v>2.8571428571428572</c:v>
                </c:pt>
                <c:pt idx="40">
                  <c:v>2.8571428571428572</c:v>
                </c:pt>
                <c:pt idx="41">
                  <c:v>2.8571428571428572</c:v>
                </c:pt>
                <c:pt idx="42">
                  <c:v>2.8571428571428572</c:v>
                </c:pt>
                <c:pt idx="43">
                  <c:v>2.8571428571428572</c:v>
                </c:pt>
                <c:pt idx="44">
                  <c:v>2.8571428571428572</c:v>
                </c:pt>
                <c:pt idx="45">
                  <c:v>2.8571428571428572</c:v>
                </c:pt>
                <c:pt idx="46">
                  <c:v>2.8571428571428572</c:v>
                </c:pt>
                <c:pt idx="47">
                  <c:v>2.8571428571428572</c:v>
                </c:pt>
                <c:pt idx="48">
                  <c:v>2.8571428571428572</c:v>
                </c:pt>
                <c:pt idx="49">
                  <c:v>2.8571428571428572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755-394F-8ABE-273B22A018E1}"/>
            </c:ext>
          </c:extLst>
        </c:ser>
        <c:ser>
          <c:idx val="3"/>
          <c:order val="6"/>
          <c:tx>
            <c:v>N*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Sheet1!$Y$101</c:f>
              <c:numCache>
                <c:formatCode>General</c:formatCode>
                <c:ptCount val="1"/>
                <c:pt idx="0">
                  <c:v>26</c:v>
                </c:pt>
              </c:numCache>
            </c:numRef>
          </c:xVal>
          <c:yVal>
            <c:numRef>
              <c:f>Sheet1!$N$96</c:f>
              <c:numCache>
                <c:formatCode>0.0000</c:formatCode>
                <c:ptCount val="1"/>
                <c:pt idx="0">
                  <c:v>2.8571428571428572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755-394F-8ABE-273B22A01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4880"/>
        <c:axId val="165785392"/>
      </c:scatterChart>
      <c:valAx>
        <c:axId val="166134880"/>
        <c:scaling>
          <c:orientation val="minMax"/>
          <c:max val="5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Trabajos en el sistema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5392"/>
        <c:crosses val="autoZero"/>
        <c:crossBetween val="midCat"/>
      </c:valAx>
      <c:valAx>
        <c:axId val="16578539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Productividad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4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Sheet1!$E$4:$E$33</c:f>
              <c:numCache>
                <c:formatCode>General</c:formatCode>
                <c:ptCount val="30"/>
                <c:pt idx="0">
                  <c:v>0.94</c:v>
                </c:pt>
                <c:pt idx="1">
                  <c:v>1.0009999999999999</c:v>
                </c:pt>
                <c:pt idx="2">
                  <c:v>1.071</c:v>
                </c:pt>
                <c:pt idx="3">
                  <c:v>1.149</c:v>
                </c:pt>
                <c:pt idx="4">
                  <c:v>1.2390000000000001</c:v>
                </c:pt>
                <c:pt idx="5">
                  <c:v>1.343</c:v>
                </c:pt>
                <c:pt idx="6">
                  <c:v>1.4630000000000001</c:v>
                </c:pt>
                <c:pt idx="7">
                  <c:v>1.601</c:v>
                </c:pt>
                <c:pt idx="8">
                  <c:v>1.7629999999999999</c:v>
                </c:pt>
                <c:pt idx="9">
                  <c:v>1.9510000000000001</c:v>
                </c:pt>
                <c:pt idx="10">
                  <c:v>2.1709999999999998</c:v>
                </c:pt>
                <c:pt idx="11">
                  <c:v>2.4279999999999999</c:v>
                </c:pt>
                <c:pt idx="12">
                  <c:v>2.7250000000000001</c:v>
                </c:pt>
                <c:pt idx="13">
                  <c:v>3.069</c:v>
                </c:pt>
                <c:pt idx="14">
                  <c:v>3.4620000000000002</c:v>
                </c:pt>
                <c:pt idx="15">
                  <c:v>3.9060000000000001</c:v>
                </c:pt>
                <c:pt idx="16">
                  <c:v>4.399</c:v>
                </c:pt>
                <c:pt idx="17">
                  <c:v>4.9400000000000004</c:v>
                </c:pt>
                <c:pt idx="18">
                  <c:v>5.5229999999999997</c:v>
                </c:pt>
                <c:pt idx="19">
                  <c:v>6.14</c:v>
                </c:pt>
                <c:pt idx="20">
                  <c:v>6.7839999999999998</c:v>
                </c:pt>
                <c:pt idx="21">
                  <c:v>7.4489999999999998</c:v>
                </c:pt>
                <c:pt idx="22">
                  <c:v>8.1270000000000007</c:v>
                </c:pt>
                <c:pt idx="23">
                  <c:v>8.8140000000000001</c:v>
                </c:pt>
                <c:pt idx="24">
                  <c:v>9.5069999999999997</c:v>
                </c:pt>
                <c:pt idx="25">
                  <c:v>10.199999999999999</c:v>
                </c:pt>
                <c:pt idx="26">
                  <c:v>10.9</c:v>
                </c:pt>
                <c:pt idx="27">
                  <c:v>11.6</c:v>
                </c:pt>
                <c:pt idx="28">
                  <c:v>12.3</c:v>
                </c:pt>
                <c:pt idx="29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F2-104D-B6D5-6D7ACC340423}"/>
            </c:ext>
          </c:extLst>
        </c:ser>
        <c:ser>
          <c:idx val="1"/>
          <c:order val="1"/>
          <c:tx>
            <c:v>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Sheet1!$G$49:$G$78</c:f>
              <c:numCache>
                <c:formatCode>General</c:formatCode>
                <c:ptCount val="30"/>
                <c:pt idx="0">
                  <c:v>0.94</c:v>
                </c:pt>
                <c:pt idx="1">
                  <c:v>0.94</c:v>
                </c:pt>
                <c:pt idx="2">
                  <c:v>0.94</c:v>
                </c:pt>
                <c:pt idx="3">
                  <c:v>0.94</c:v>
                </c:pt>
                <c:pt idx="4">
                  <c:v>0.94</c:v>
                </c:pt>
                <c:pt idx="5">
                  <c:v>0.94</c:v>
                </c:pt>
                <c:pt idx="6">
                  <c:v>0.94</c:v>
                </c:pt>
                <c:pt idx="7">
                  <c:v>0.94</c:v>
                </c:pt>
                <c:pt idx="8">
                  <c:v>0.94</c:v>
                </c:pt>
                <c:pt idx="9">
                  <c:v>0.94</c:v>
                </c:pt>
                <c:pt idx="10">
                  <c:v>0.94</c:v>
                </c:pt>
                <c:pt idx="11">
                  <c:v>0.94</c:v>
                </c:pt>
                <c:pt idx="12">
                  <c:v>0.94</c:v>
                </c:pt>
                <c:pt idx="13">
                  <c:v>0.94</c:v>
                </c:pt>
                <c:pt idx="14">
                  <c:v>0.94</c:v>
                </c:pt>
                <c:pt idx="15">
                  <c:v>0.94</c:v>
                </c:pt>
                <c:pt idx="16">
                  <c:v>0.94</c:v>
                </c:pt>
                <c:pt idx="17">
                  <c:v>0.94</c:v>
                </c:pt>
                <c:pt idx="18">
                  <c:v>0.94</c:v>
                </c:pt>
                <c:pt idx="19">
                  <c:v>0.94</c:v>
                </c:pt>
                <c:pt idx="20">
                  <c:v>0.94</c:v>
                </c:pt>
                <c:pt idx="21">
                  <c:v>0.94</c:v>
                </c:pt>
                <c:pt idx="22">
                  <c:v>0.94</c:v>
                </c:pt>
                <c:pt idx="23">
                  <c:v>0.94</c:v>
                </c:pt>
                <c:pt idx="24">
                  <c:v>0.94</c:v>
                </c:pt>
                <c:pt idx="25">
                  <c:v>0.94</c:v>
                </c:pt>
                <c:pt idx="26">
                  <c:v>0.94</c:v>
                </c:pt>
                <c:pt idx="27">
                  <c:v>0.94</c:v>
                </c:pt>
                <c:pt idx="28">
                  <c:v>0.94</c:v>
                </c:pt>
                <c:pt idx="29">
                  <c:v>0.94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F2-104D-B6D5-6D7ACC340423}"/>
            </c:ext>
          </c:extLst>
        </c:ser>
        <c:ser>
          <c:idx val="2"/>
          <c:order val="2"/>
          <c:tx>
            <c:v>D1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Sheet1!$H$49:$H$78</c:f>
              <c:numCache>
                <c:formatCode>General</c:formatCode>
                <c:ptCount val="30"/>
                <c:pt idx="0">
                  <c:v>-7.76</c:v>
                </c:pt>
                <c:pt idx="1">
                  <c:v>-7.52</c:v>
                </c:pt>
                <c:pt idx="2">
                  <c:v>-7.28</c:v>
                </c:pt>
                <c:pt idx="3">
                  <c:v>-7.04</c:v>
                </c:pt>
                <c:pt idx="4">
                  <c:v>-6.8</c:v>
                </c:pt>
                <c:pt idx="5">
                  <c:v>-6.5600000000000005</c:v>
                </c:pt>
                <c:pt idx="6">
                  <c:v>-6.32</c:v>
                </c:pt>
                <c:pt idx="7">
                  <c:v>-6.08</c:v>
                </c:pt>
                <c:pt idx="8">
                  <c:v>-5.84</c:v>
                </c:pt>
                <c:pt idx="9">
                  <c:v>-5.6</c:v>
                </c:pt>
                <c:pt idx="10">
                  <c:v>-5.36</c:v>
                </c:pt>
                <c:pt idx="11">
                  <c:v>-5.12</c:v>
                </c:pt>
                <c:pt idx="12">
                  <c:v>-4.88</c:v>
                </c:pt>
                <c:pt idx="13">
                  <c:v>-4.6400000000000006</c:v>
                </c:pt>
                <c:pt idx="14">
                  <c:v>-4.4000000000000004</c:v>
                </c:pt>
                <c:pt idx="15">
                  <c:v>-4.16</c:v>
                </c:pt>
                <c:pt idx="16">
                  <c:v>-3.92</c:v>
                </c:pt>
                <c:pt idx="17">
                  <c:v>-3.6799999999999997</c:v>
                </c:pt>
                <c:pt idx="18">
                  <c:v>-3.4400000000000004</c:v>
                </c:pt>
                <c:pt idx="19">
                  <c:v>-3.2</c:v>
                </c:pt>
                <c:pt idx="20">
                  <c:v>-2.96</c:v>
                </c:pt>
                <c:pt idx="21">
                  <c:v>-2.7200000000000006</c:v>
                </c:pt>
                <c:pt idx="22">
                  <c:v>-2.4800000000000004</c:v>
                </c:pt>
                <c:pt idx="23">
                  <c:v>-2.2400000000000002</c:v>
                </c:pt>
                <c:pt idx="24">
                  <c:v>-2</c:v>
                </c:pt>
                <c:pt idx="25">
                  <c:v>-1.7599999999999998</c:v>
                </c:pt>
                <c:pt idx="26">
                  <c:v>-1.5200000000000005</c:v>
                </c:pt>
                <c:pt idx="27">
                  <c:v>-1.2800000000000002</c:v>
                </c:pt>
                <c:pt idx="28">
                  <c:v>-1.04</c:v>
                </c:pt>
                <c:pt idx="29">
                  <c:v>-0.80000000000000071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F2-104D-B6D5-6D7ACC340423}"/>
            </c:ext>
          </c:extLst>
        </c:ser>
        <c:ser>
          <c:idx val="3"/>
          <c:order val="3"/>
          <c:tx>
            <c:v>D2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Sheet1!$I$49:$I$78</c:f>
              <c:numCache>
                <c:formatCode>General</c:formatCode>
                <c:ptCount val="30"/>
                <c:pt idx="0">
                  <c:v>-7.3</c:v>
                </c:pt>
                <c:pt idx="1">
                  <c:v>-6.6</c:v>
                </c:pt>
                <c:pt idx="2">
                  <c:v>-5.9</c:v>
                </c:pt>
                <c:pt idx="3">
                  <c:v>-5.2</c:v>
                </c:pt>
                <c:pt idx="4">
                  <c:v>-4.5</c:v>
                </c:pt>
                <c:pt idx="5">
                  <c:v>-3.8000000000000007</c:v>
                </c:pt>
                <c:pt idx="6">
                  <c:v>-3.1000000000000005</c:v>
                </c:pt>
                <c:pt idx="7">
                  <c:v>-2.4000000000000004</c:v>
                </c:pt>
                <c:pt idx="8">
                  <c:v>-1.7000000000000002</c:v>
                </c:pt>
                <c:pt idx="9">
                  <c:v>-1</c:v>
                </c:pt>
                <c:pt idx="10">
                  <c:v>-0.30000000000000071</c:v>
                </c:pt>
                <c:pt idx="11">
                  <c:v>0.39999999999999858</c:v>
                </c:pt>
                <c:pt idx="12">
                  <c:v>1.0999999999999996</c:v>
                </c:pt>
                <c:pt idx="13">
                  <c:v>1.7999999999999989</c:v>
                </c:pt>
                <c:pt idx="14">
                  <c:v>2.5</c:v>
                </c:pt>
                <c:pt idx="15">
                  <c:v>3.1999999999999993</c:v>
                </c:pt>
                <c:pt idx="16">
                  <c:v>3.8999999999999986</c:v>
                </c:pt>
                <c:pt idx="17">
                  <c:v>4.5999999999999996</c:v>
                </c:pt>
                <c:pt idx="18">
                  <c:v>5.2999999999999989</c:v>
                </c:pt>
                <c:pt idx="19">
                  <c:v>6</c:v>
                </c:pt>
                <c:pt idx="20">
                  <c:v>6.6999999999999993</c:v>
                </c:pt>
                <c:pt idx="21">
                  <c:v>7.3999999999999986</c:v>
                </c:pt>
                <c:pt idx="22">
                  <c:v>8.0999999999999979</c:v>
                </c:pt>
                <c:pt idx="23">
                  <c:v>8.7999999999999972</c:v>
                </c:pt>
                <c:pt idx="24">
                  <c:v>9.5</c:v>
                </c:pt>
                <c:pt idx="25">
                  <c:v>10.199999999999999</c:v>
                </c:pt>
                <c:pt idx="26">
                  <c:v>10.899999999999999</c:v>
                </c:pt>
                <c:pt idx="27">
                  <c:v>11.599999999999998</c:v>
                </c:pt>
                <c:pt idx="28">
                  <c:v>12.299999999999997</c:v>
                </c:pt>
                <c:pt idx="29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F2-104D-B6D5-6D7ACC340423}"/>
            </c:ext>
          </c:extLst>
        </c:ser>
        <c:ser>
          <c:idx val="5"/>
          <c:order val="4"/>
          <c:tx>
            <c:v>N*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tx1"/>
              </a:solidFill>
              <a:ln w="0">
                <a:solidFill>
                  <a:schemeClr val="accent6"/>
                </a:solidFill>
              </a:ln>
              <a:effectLst/>
            </c:spPr>
          </c:marker>
          <c:xVal>
            <c:numRef>
              <c:f>Sheet1!$E$54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Sheet1!$E$53</c:f>
              <c:numCache>
                <c:formatCode>General</c:formatCode>
                <c:ptCount val="1"/>
                <c:pt idx="0">
                  <c:v>0.94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8F2-104D-B6D5-6D7ACC340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4880"/>
        <c:axId val="165785392"/>
      </c:scatterChart>
      <c:valAx>
        <c:axId val="166134880"/>
        <c:scaling>
          <c:orientation val="minMax"/>
          <c:max val="3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Trabajos en el sistema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5392"/>
        <c:crosses val="autoZero"/>
        <c:crossBetween val="midCat"/>
      </c:valAx>
      <c:valAx>
        <c:axId val="16578539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de respuesta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4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Sheet1!$D$4:$D$33</c:f>
              <c:numCache>
                <c:formatCode>General</c:formatCode>
                <c:ptCount val="30"/>
                <c:pt idx="0">
                  <c:v>0.1119</c:v>
                </c:pt>
                <c:pt idx="1">
                  <c:v>0.22220000000000001</c:v>
                </c:pt>
                <c:pt idx="2">
                  <c:v>0.33069999999999999</c:v>
                </c:pt>
                <c:pt idx="3">
                  <c:v>0.43719999999999998</c:v>
                </c:pt>
                <c:pt idx="4">
                  <c:v>0.54120000000000001</c:v>
                </c:pt>
                <c:pt idx="5">
                  <c:v>0.64219999999999999</c:v>
                </c:pt>
                <c:pt idx="6">
                  <c:v>0.73980000000000001</c:v>
                </c:pt>
                <c:pt idx="7">
                  <c:v>0.83320000000000005</c:v>
                </c:pt>
                <c:pt idx="8">
                  <c:v>0.92190000000000005</c:v>
                </c:pt>
                <c:pt idx="9">
                  <c:v>1.0049999999999999</c:v>
                </c:pt>
                <c:pt idx="10">
                  <c:v>1.081</c:v>
                </c:pt>
                <c:pt idx="11">
                  <c:v>1.151</c:v>
                </c:pt>
                <c:pt idx="12">
                  <c:v>1.212</c:v>
                </c:pt>
                <c:pt idx="13">
                  <c:v>1.2649999999999999</c:v>
                </c:pt>
                <c:pt idx="14">
                  <c:v>1.3089999999999999</c:v>
                </c:pt>
                <c:pt idx="15">
                  <c:v>1.3440000000000001</c:v>
                </c:pt>
                <c:pt idx="16">
                  <c:v>1.371</c:v>
                </c:pt>
                <c:pt idx="17">
                  <c:v>1.391</c:v>
                </c:pt>
                <c:pt idx="18">
                  <c:v>1.405</c:v>
                </c:pt>
                <c:pt idx="19">
                  <c:v>1.4139999999999999</c:v>
                </c:pt>
                <c:pt idx="20">
                  <c:v>1.42</c:v>
                </c:pt>
                <c:pt idx="21">
                  <c:v>1.4239999999999999</c:v>
                </c:pt>
                <c:pt idx="22">
                  <c:v>1.4259999999999999</c:v>
                </c:pt>
                <c:pt idx="23">
                  <c:v>1.427</c:v>
                </c:pt>
                <c:pt idx="24">
                  <c:v>1.4279999999999999</c:v>
                </c:pt>
                <c:pt idx="25">
                  <c:v>1.4279999999999999</c:v>
                </c:pt>
                <c:pt idx="26">
                  <c:v>1.4279999999999999</c:v>
                </c:pt>
                <c:pt idx="27">
                  <c:v>1.429</c:v>
                </c:pt>
                <c:pt idx="28">
                  <c:v>1.429</c:v>
                </c:pt>
                <c:pt idx="29">
                  <c:v>1.429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68-3541-967B-D7495490231A}"/>
            </c:ext>
          </c:extLst>
        </c:ser>
        <c:ser>
          <c:idx val="2"/>
          <c:order val="1"/>
          <c:tx>
            <c:v>N/(D+Z)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Sheet1!$O$96:$O$145</c:f>
              <c:numCache>
                <c:formatCode>0.0000</c:formatCode>
                <c:ptCount val="50"/>
                <c:pt idx="0">
                  <c:v>0.11185682326621925</c:v>
                </c:pt>
                <c:pt idx="1">
                  <c:v>0.2237136465324385</c:v>
                </c:pt>
                <c:pt idx="2">
                  <c:v>0.33557046979865773</c:v>
                </c:pt>
                <c:pt idx="3">
                  <c:v>0.447427293064877</c:v>
                </c:pt>
                <c:pt idx="4">
                  <c:v>0.5592841163310962</c:v>
                </c:pt>
                <c:pt idx="5">
                  <c:v>0.67114093959731547</c:v>
                </c:pt>
                <c:pt idx="6">
                  <c:v>0.78299776286353473</c:v>
                </c:pt>
                <c:pt idx="7">
                  <c:v>0.89485458612975399</c:v>
                </c:pt>
                <c:pt idx="8">
                  <c:v>1.0067114093959733</c:v>
                </c:pt>
                <c:pt idx="9">
                  <c:v>1.1185682326621924</c:v>
                </c:pt>
                <c:pt idx="10">
                  <c:v>1.2304250559284118</c:v>
                </c:pt>
                <c:pt idx="11">
                  <c:v>1.3422818791946309</c:v>
                </c:pt>
                <c:pt idx="12">
                  <c:v>1.4541387024608501</c:v>
                </c:pt>
                <c:pt idx="13">
                  <c:v>1.5659955257270695</c:v>
                </c:pt>
                <c:pt idx="14">
                  <c:v>1.6778523489932886</c:v>
                </c:pt>
                <c:pt idx="15">
                  <c:v>1.789709172259508</c:v>
                </c:pt>
                <c:pt idx="16">
                  <c:v>1.9015659955257271</c:v>
                </c:pt>
                <c:pt idx="17">
                  <c:v>2.0134228187919465</c:v>
                </c:pt>
                <c:pt idx="18">
                  <c:v>2.1252796420581657</c:v>
                </c:pt>
                <c:pt idx="19">
                  <c:v>2.2371364653243848</c:v>
                </c:pt>
                <c:pt idx="20">
                  <c:v>2.348993288590604</c:v>
                </c:pt>
                <c:pt idx="21">
                  <c:v>2.4608501118568236</c:v>
                </c:pt>
                <c:pt idx="22">
                  <c:v>2.5727069351230427</c:v>
                </c:pt>
                <c:pt idx="23">
                  <c:v>2.6845637583892619</c:v>
                </c:pt>
                <c:pt idx="24">
                  <c:v>2.796420581655481</c:v>
                </c:pt>
                <c:pt idx="25">
                  <c:v>2.9082774049217002</c:v>
                </c:pt>
                <c:pt idx="26">
                  <c:v>3.0201342281879198</c:v>
                </c:pt>
                <c:pt idx="27">
                  <c:v>3.1319910514541389</c:v>
                </c:pt>
                <c:pt idx="28">
                  <c:v>3.2438478747203581</c:v>
                </c:pt>
                <c:pt idx="29">
                  <c:v>3.3557046979865772</c:v>
                </c:pt>
                <c:pt idx="30">
                  <c:v>3.4675615212527968</c:v>
                </c:pt>
                <c:pt idx="31">
                  <c:v>3.579418344519016</c:v>
                </c:pt>
                <c:pt idx="32">
                  <c:v>3.6912751677852351</c:v>
                </c:pt>
                <c:pt idx="33">
                  <c:v>3.8031319910514543</c:v>
                </c:pt>
                <c:pt idx="34">
                  <c:v>3.9149888143176734</c:v>
                </c:pt>
                <c:pt idx="35">
                  <c:v>4.026845637583893</c:v>
                </c:pt>
                <c:pt idx="36">
                  <c:v>4.1387024608501122</c:v>
                </c:pt>
                <c:pt idx="37">
                  <c:v>4.2505592841163313</c:v>
                </c:pt>
                <c:pt idx="38">
                  <c:v>4.3624161073825505</c:v>
                </c:pt>
                <c:pt idx="39">
                  <c:v>4.4742729306487696</c:v>
                </c:pt>
                <c:pt idx="40">
                  <c:v>4.5861297539149888</c:v>
                </c:pt>
                <c:pt idx="41">
                  <c:v>4.6979865771812079</c:v>
                </c:pt>
                <c:pt idx="42">
                  <c:v>4.809843400447428</c:v>
                </c:pt>
                <c:pt idx="43">
                  <c:v>4.9217002237136471</c:v>
                </c:pt>
                <c:pt idx="44">
                  <c:v>5.0335570469798663</c:v>
                </c:pt>
                <c:pt idx="45">
                  <c:v>5.1454138702460854</c:v>
                </c:pt>
                <c:pt idx="46">
                  <c:v>5.2572706935123046</c:v>
                </c:pt>
                <c:pt idx="47">
                  <c:v>5.3691275167785237</c:v>
                </c:pt>
                <c:pt idx="48">
                  <c:v>5.4809843400447429</c:v>
                </c:pt>
                <c:pt idx="49">
                  <c:v>5.592841163310962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68-3541-967B-D7495490231A}"/>
            </c:ext>
          </c:extLst>
        </c:ser>
        <c:ser>
          <c:idx val="1"/>
          <c:order val="2"/>
          <c:tx>
            <c:v>1/Db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Sheet1!$J$49:$J$78</c:f>
              <c:numCache>
                <c:formatCode>0.0000</c:formatCode>
                <c:ptCount val="30"/>
                <c:pt idx="0">
                  <c:v>1.4285714285714286</c:v>
                </c:pt>
                <c:pt idx="1">
                  <c:v>1.4285714285714286</c:v>
                </c:pt>
                <c:pt idx="2">
                  <c:v>1.4285714285714286</c:v>
                </c:pt>
                <c:pt idx="3">
                  <c:v>1.4285714285714286</c:v>
                </c:pt>
                <c:pt idx="4">
                  <c:v>1.4285714285714286</c:v>
                </c:pt>
                <c:pt idx="5">
                  <c:v>1.4285714285714286</c:v>
                </c:pt>
                <c:pt idx="6">
                  <c:v>1.4285714285714286</c:v>
                </c:pt>
                <c:pt idx="7">
                  <c:v>1.4285714285714286</c:v>
                </c:pt>
                <c:pt idx="8">
                  <c:v>1.4285714285714286</c:v>
                </c:pt>
                <c:pt idx="9">
                  <c:v>1.4285714285714286</c:v>
                </c:pt>
                <c:pt idx="10">
                  <c:v>1.4285714285714286</c:v>
                </c:pt>
                <c:pt idx="11">
                  <c:v>1.4285714285714286</c:v>
                </c:pt>
                <c:pt idx="12">
                  <c:v>1.4285714285714286</c:v>
                </c:pt>
                <c:pt idx="13">
                  <c:v>1.4285714285714286</c:v>
                </c:pt>
                <c:pt idx="14">
                  <c:v>1.4285714285714286</c:v>
                </c:pt>
                <c:pt idx="15">
                  <c:v>1.4285714285714286</c:v>
                </c:pt>
                <c:pt idx="16">
                  <c:v>1.4285714285714286</c:v>
                </c:pt>
                <c:pt idx="17">
                  <c:v>1.4285714285714286</c:v>
                </c:pt>
                <c:pt idx="18">
                  <c:v>1.4285714285714286</c:v>
                </c:pt>
                <c:pt idx="19">
                  <c:v>1.4285714285714286</c:v>
                </c:pt>
                <c:pt idx="20">
                  <c:v>1.4285714285714286</c:v>
                </c:pt>
                <c:pt idx="21">
                  <c:v>1.4285714285714286</c:v>
                </c:pt>
                <c:pt idx="22">
                  <c:v>1.4285714285714286</c:v>
                </c:pt>
                <c:pt idx="23">
                  <c:v>1.4285714285714286</c:v>
                </c:pt>
                <c:pt idx="24">
                  <c:v>1.4285714285714286</c:v>
                </c:pt>
                <c:pt idx="25">
                  <c:v>1.4285714285714286</c:v>
                </c:pt>
                <c:pt idx="26">
                  <c:v>1.4285714285714286</c:v>
                </c:pt>
                <c:pt idx="27">
                  <c:v>1.4285714285714286</c:v>
                </c:pt>
                <c:pt idx="28">
                  <c:v>1.4285714285714286</c:v>
                </c:pt>
                <c:pt idx="29">
                  <c:v>1.4285714285714286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68-3541-967B-D7495490231A}"/>
            </c:ext>
          </c:extLst>
        </c:ser>
        <c:ser>
          <c:idx val="4"/>
          <c:order val="3"/>
          <c:tx>
            <c:v>1/D1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Sheet1!$L$49:$L$78</c:f>
              <c:numCache>
                <c:formatCode>0.0000</c:formatCode>
                <c:ptCount val="30"/>
                <c:pt idx="0">
                  <c:v>4.166666666666667</c:v>
                </c:pt>
                <c:pt idx="1">
                  <c:v>4.166666666666667</c:v>
                </c:pt>
                <c:pt idx="2">
                  <c:v>4.166666666666667</c:v>
                </c:pt>
                <c:pt idx="3">
                  <c:v>4.166666666666667</c:v>
                </c:pt>
                <c:pt idx="4">
                  <c:v>4.166666666666667</c:v>
                </c:pt>
                <c:pt idx="5">
                  <c:v>4.166666666666667</c:v>
                </c:pt>
                <c:pt idx="6">
                  <c:v>4.166666666666667</c:v>
                </c:pt>
                <c:pt idx="7">
                  <c:v>4.166666666666667</c:v>
                </c:pt>
                <c:pt idx="8">
                  <c:v>4.166666666666667</c:v>
                </c:pt>
                <c:pt idx="9">
                  <c:v>4.166666666666667</c:v>
                </c:pt>
                <c:pt idx="10">
                  <c:v>4.166666666666667</c:v>
                </c:pt>
                <c:pt idx="11">
                  <c:v>4.166666666666667</c:v>
                </c:pt>
                <c:pt idx="12">
                  <c:v>4.166666666666667</c:v>
                </c:pt>
                <c:pt idx="13">
                  <c:v>4.166666666666667</c:v>
                </c:pt>
                <c:pt idx="14">
                  <c:v>4.166666666666667</c:v>
                </c:pt>
                <c:pt idx="15">
                  <c:v>4.166666666666667</c:v>
                </c:pt>
                <c:pt idx="16">
                  <c:v>4.166666666666667</c:v>
                </c:pt>
                <c:pt idx="17">
                  <c:v>4.166666666666667</c:v>
                </c:pt>
                <c:pt idx="18">
                  <c:v>4.166666666666667</c:v>
                </c:pt>
                <c:pt idx="19">
                  <c:v>4.166666666666667</c:v>
                </c:pt>
                <c:pt idx="20">
                  <c:v>4.166666666666667</c:v>
                </c:pt>
                <c:pt idx="21">
                  <c:v>4.166666666666667</c:v>
                </c:pt>
                <c:pt idx="22">
                  <c:v>4.166666666666667</c:v>
                </c:pt>
                <c:pt idx="23">
                  <c:v>4.166666666666667</c:v>
                </c:pt>
                <c:pt idx="24">
                  <c:v>4.166666666666667</c:v>
                </c:pt>
                <c:pt idx="25">
                  <c:v>4.166666666666667</c:v>
                </c:pt>
                <c:pt idx="26">
                  <c:v>4.166666666666667</c:v>
                </c:pt>
                <c:pt idx="27">
                  <c:v>4.166666666666667</c:v>
                </c:pt>
                <c:pt idx="28">
                  <c:v>4.166666666666667</c:v>
                </c:pt>
                <c:pt idx="29">
                  <c:v>4.166666666666667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68-3541-967B-D7495490231A}"/>
            </c:ext>
          </c:extLst>
        </c:ser>
        <c:ser>
          <c:idx val="5"/>
          <c:order val="4"/>
          <c:tx>
            <c:v>1/D2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Sheet1!$M$49:$M$78</c:f>
              <c:numCache>
                <c:formatCode>0.0000</c:formatCode>
                <c:ptCount val="30"/>
                <c:pt idx="0">
                  <c:v>1.4285714285714286</c:v>
                </c:pt>
                <c:pt idx="1">
                  <c:v>1.4285714285714286</c:v>
                </c:pt>
                <c:pt idx="2">
                  <c:v>1.4285714285714286</c:v>
                </c:pt>
                <c:pt idx="3">
                  <c:v>1.4285714285714286</c:v>
                </c:pt>
                <c:pt idx="4">
                  <c:v>1.4285714285714286</c:v>
                </c:pt>
                <c:pt idx="5">
                  <c:v>1.4285714285714286</c:v>
                </c:pt>
                <c:pt idx="6">
                  <c:v>1.4285714285714286</c:v>
                </c:pt>
                <c:pt idx="7">
                  <c:v>1.4285714285714286</c:v>
                </c:pt>
                <c:pt idx="8">
                  <c:v>1.4285714285714286</c:v>
                </c:pt>
                <c:pt idx="9">
                  <c:v>1.4285714285714286</c:v>
                </c:pt>
                <c:pt idx="10">
                  <c:v>1.4285714285714286</c:v>
                </c:pt>
                <c:pt idx="11">
                  <c:v>1.4285714285714286</c:v>
                </c:pt>
                <c:pt idx="12">
                  <c:v>1.4285714285714286</c:v>
                </c:pt>
                <c:pt idx="13">
                  <c:v>1.4285714285714286</c:v>
                </c:pt>
                <c:pt idx="14">
                  <c:v>1.4285714285714286</c:v>
                </c:pt>
                <c:pt idx="15">
                  <c:v>1.4285714285714286</c:v>
                </c:pt>
                <c:pt idx="16">
                  <c:v>1.4285714285714286</c:v>
                </c:pt>
                <c:pt idx="17">
                  <c:v>1.4285714285714286</c:v>
                </c:pt>
                <c:pt idx="18">
                  <c:v>1.4285714285714286</c:v>
                </c:pt>
                <c:pt idx="19">
                  <c:v>1.4285714285714286</c:v>
                </c:pt>
                <c:pt idx="20">
                  <c:v>1.4285714285714286</c:v>
                </c:pt>
                <c:pt idx="21">
                  <c:v>1.4285714285714286</c:v>
                </c:pt>
                <c:pt idx="22">
                  <c:v>1.4285714285714286</c:v>
                </c:pt>
                <c:pt idx="23">
                  <c:v>1.4285714285714286</c:v>
                </c:pt>
                <c:pt idx="24">
                  <c:v>1.4285714285714286</c:v>
                </c:pt>
                <c:pt idx="25">
                  <c:v>1.4285714285714286</c:v>
                </c:pt>
                <c:pt idx="26">
                  <c:v>1.4285714285714286</c:v>
                </c:pt>
                <c:pt idx="27">
                  <c:v>1.4285714285714286</c:v>
                </c:pt>
                <c:pt idx="28">
                  <c:v>1.4285714285714286</c:v>
                </c:pt>
                <c:pt idx="29">
                  <c:v>1.4285714285714286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68-3541-967B-D7495490231A}"/>
            </c:ext>
          </c:extLst>
        </c:ser>
        <c:ser>
          <c:idx val="3"/>
          <c:order val="5"/>
          <c:tx>
            <c:v>N*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Sheet1!$E$54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Sheet1!$J$49</c:f>
              <c:numCache>
                <c:formatCode>0.0000</c:formatCode>
                <c:ptCount val="1"/>
                <c:pt idx="0">
                  <c:v>1.4285714285714286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E68-3541-967B-D74954902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4880"/>
        <c:axId val="165785392"/>
      </c:scatterChart>
      <c:valAx>
        <c:axId val="166134880"/>
        <c:scaling>
          <c:orientation val="minMax"/>
          <c:max val="3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Trabajos en el sistema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5392"/>
        <c:crosses val="autoZero"/>
        <c:crossBetween val="midCat"/>
      </c:valAx>
      <c:valAx>
        <c:axId val="16578539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Productividad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4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</xdr:row>
      <xdr:rowOff>198914</xdr:rowOff>
    </xdr:from>
    <xdr:to>
      <xdr:col>17</xdr:col>
      <xdr:colOff>795663</xdr:colOff>
      <xdr:row>21</xdr:row>
      <xdr:rowOff>15300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3AA7BE-E400-B425-168F-2026984E7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30358</xdr:colOff>
      <xdr:row>1</xdr:row>
      <xdr:rowOff>170180</xdr:rowOff>
    </xdr:from>
    <xdr:to>
      <xdr:col>28</xdr:col>
      <xdr:colOff>2917</xdr:colOff>
      <xdr:row>21</xdr:row>
      <xdr:rowOff>71486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FF09BA-1DDD-6752-60C6-410EA1464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9845</xdr:colOff>
      <xdr:row>102</xdr:row>
      <xdr:rowOff>17</xdr:rowOff>
    </xdr:from>
    <xdr:to>
      <xdr:col>28</xdr:col>
      <xdr:colOff>331988</xdr:colOff>
      <xdr:row>125</xdr:row>
      <xdr:rowOff>90847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CF26D-0C0B-16EB-9A6A-54482EC7B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818862</xdr:colOff>
      <xdr:row>102</xdr:row>
      <xdr:rowOff>20483</xdr:rowOff>
    </xdr:from>
    <xdr:to>
      <xdr:col>38</xdr:col>
      <xdr:colOff>314744</xdr:colOff>
      <xdr:row>125</xdr:row>
      <xdr:rowOff>117237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D4ADD9-F58C-D347-B7E3-75DAEFA12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389467</xdr:colOff>
      <xdr:row>47</xdr:row>
      <xdr:rowOff>132110</xdr:rowOff>
    </xdr:from>
    <xdr:to>
      <xdr:col>22</xdr:col>
      <xdr:colOff>718179</xdr:colOff>
      <xdr:row>71</xdr:row>
      <xdr:rowOff>19740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4A0CFD2-F6C7-8445-8F42-F21BE96F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32438</xdr:colOff>
      <xdr:row>47</xdr:row>
      <xdr:rowOff>146146</xdr:rowOff>
    </xdr:from>
    <xdr:to>
      <xdr:col>32</xdr:col>
      <xdr:colOff>366519</xdr:colOff>
      <xdr:row>71</xdr:row>
      <xdr:rowOff>39444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87737E4-A264-6B4D-9FF6-32F4C5C68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D981E4-447D-9945-948C-0397805FCD04}" name="Table1" displayName="Table1" ref="A3:G33" totalsRowShown="0" headerRowDxfId="9">
  <autoFilter ref="A3:G33" xr:uid="{FAD981E4-447D-9945-948C-0397805FCD04}"/>
  <tableColumns count="7">
    <tableColumn id="1" xr3:uid="{0A540AD7-060E-DF49-B970-BC32CD795557}" name="N"/>
    <tableColumn id="2" xr3:uid="{95EB9D0E-A988-9847-9C1D-FD554E0E8D68}" name="R1"/>
    <tableColumn id="3" xr3:uid="{0DC1C488-3834-5045-9A2C-15CD91E487E8}" name="R2"/>
    <tableColumn id="4" xr3:uid="{DD66B4B5-38E6-D040-9D40-B0296D6933DD}" name="X"/>
    <tableColumn id="5" xr3:uid="{93D48452-34BD-B740-91F1-9C1FC7304931}" name="R"/>
    <tableColumn id="6" xr3:uid="{A6720969-0639-604A-ACC1-433B13146C22}" name="N1"/>
    <tableColumn id="7" xr3:uid="{8274BFDE-DC23-9C4F-AC93-811B7D9C19E5}" name="N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EE5213-1C78-2841-9F75-0EB740879845}" name="Table3" displayName="Table3" ref="A95:R145" totalsRowShown="0">
  <autoFilter ref="A95:R145" xr:uid="{05EE5213-1C78-2841-9F75-0EB740879845}"/>
  <tableColumns count="18">
    <tableColumn id="1" xr3:uid="{488422E0-FEFE-F649-8A9D-DF7CD5A88409}" name="N"/>
    <tableColumn id="2" xr3:uid="{D20BAC89-23AD-0344-BD52-297399C7BFF3}" name="R1"/>
    <tableColumn id="3" xr3:uid="{516EB846-35FB-D74E-B2C8-56B040D30D08}" name="R2"/>
    <tableColumn id="4" xr3:uid="{53F1DCA8-C9FC-D649-B8F9-3E04A68586E2}" name="R3"/>
    <tableColumn id="5" xr3:uid="{B4541C65-3D5E-CE4D-B691-5CEA7D2681E5}" name="X"/>
    <tableColumn id="6" xr3:uid="{4AACF7D4-6643-8C49-9C1F-1BA6005AD77D}" name="R"/>
    <tableColumn id="7" xr3:uid="{5483BA0C-A8D5-B746-AF98-9B24E0DC2A0F}" name="N1"/>
    <tableColumn id="8" xr3:uid="{7B7502BE-8119-8A46-9377-81E38933C76D}" name="N2"/>
    <tableColumn id="9" xr3:uid="{6865E8B5-B179-2F46-B8EE-F9BEADB23BC3}" name="N3"/>
    <tableColumn id="10" xr3:uid="{5ECBF4E6-3EBE-ED45-B02E-369466D5A8B3}" name="D" dataDxfId="8">
      <calculatedColumnFormula>$Y$100</calculatedColumnFormula>
    </tableColumn>
    <tableColumn id="11" xr3:uid="{8F4A54F3-B3ED-BF40-9D08-5488CC1A49CB}" name="D1" dataDxfId="7">
      <calculatedColumnFormula>$Y$96*$A96-$Y$95</calculatedColumnFormula>
    </tableColumn>
    <tableColumn id="12" xr3:uid="{512AA31A-40EC-9640-A9A9-6E53CD58A6F0}" name="D2" dataDxfId="6">
      <calculatedColumnFormula>$Y$97*$A96-$Y$95</calculatedColumnFormula>
    </tableColumn>
    <tableColumn id="13" xr3:uid="{168CA747-EDF8-B741-AD9C-4C12CAF303C8}" name="D3" dataDxfId="5">
      <calculatedColumnFormula>$Y$98*$A96-$Y$95</calculatedColumnFormula>
    </tableColumn>
    <tableColumn id="14" xr3:uid="{1638D7B9-32B6-DD46-8708-8D5A1012C3FD}" name="1/Db" dataDxfId="4">
      <calculatedColumnFormula>1/$Y$99</calculatedColumnFormula>
    </tableColumn>
    <tableColumn id="15" xr3:uid="{B03030DE-B080-2A41-891A-203C8764167A}" name="N/(D+Z)" dataDxfId="3">
      <calculatedColumnFormula>Table3[[#This Row],[N]]/($Y$100+$Y$95)</calculatedColumnFormula>
    </tableColumn>
    <tableColumn id="16" xr3:uid="{473CFB4F-CBEE-C74B-B7D8-FA07BBD4CAAC}" name="1/D1" dataDxfId="2">
      <calculatedColumnFormula>1/$Y$96</calculatedColumnFormula>
    </tableColumn>
    <tableColumn id="17" xr3:uid="{E781F799-ABC4-F444-957B-35E7D499338E}" name="1/D2" dataDxfId="1">
      <calculatedColumnFormula>1/$Y$97</calculatedColumnFormula>
    </tableColumn>
    <tableColumn id="18" xr3:uid="{4FF41709-DA3E-4644-8897-1F51596774A5}" name="1/D3" dataDxfId="0">
      <calculatedColumnFormula>1/$Y$98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CBDE-8B3A-6548-8A35-C9360A9E2560}">
  <dimension ref="A1:Z156"/>
  <sheetViews>
    <sheetView tabSelected="1" zoomScale="75" workbookViewId="0">
      <selection activeCell="X30" sqref="X30"/>
    </sheetView>
  </sheetViews>
  <sheetFormatPr baseColWidth="10" defaultRowHeight="16" x14ac:dyDescent="0.2"/>
  <sheetData>
    <row r="1" spans="1:7" ht="32" x14ac:dyDescent="0.4">
      <c r="A1" s="3" t="s">
        <v>7</v>
      </c>
    </row>
    <row r="3" spans="1:7" s="1" customFormat="1" x14ac:dyDescent="0.2">
      <c r="A3" s="1" t="s">
        <v>0</v>
      </c>
      <c r="B3" s="1" t="s">
        <v>1</v>
      </c>
      <c r="C3" s="1" t="s">
        <v>2</v>
      </c>
      <c r="D3" s="1" t="s">
        <v>4</v>
      </c>
      <c r="E3" s="1" t="s">
        <v>3</v>
      </c>
      <c r="F3" s="1" t="s">
        <v>5</v>
      </c>
      <c r="G3" s="1" t="s">
        <v>6</v>
      </c>
    </row>
    <row r="4" spans="1:7" x14ac:dyDescent="0.2">
      <c r="A4">
        <v>1</v>
      </c>
      <c r="B4">
        <v>0.03</v>
      </c>
      <c r="C4">
        <v>0.1</v>
      </c>
      <c r="D4">
        <v>0.1119</v>
      </c>
      <c r="E4">
        <v>0.94</v>
      </c>
      <c r="F4">
        <v>2.6849999999999999E-2</v>
      </c>
      <c r="G4">
        <v>7.8299999999999995E-2</v>
      </c>
    </row>
    <row r="5" spans="1:7" x14ac:dyDescent="0.2">
      <c r="A5">
        <v>2</v>
      </c>
      <c r="B5">
        <v>3.0810000000000001E-2</v>
      </c>
      <c r="C5">
        <v>0.10780000000000001</v>
      </c>
      <c r="D5">
        <v>0.22220000000000001</v>
      </c>
      <c r="E5">
        <v>1.0009999999999999</v>
      </c>
      <c r="F5">
        <v>5.4760000000000003E-2</v>
      </c>
      <c r="G5">
        <v>0.16769999999999999</v>
      </c>
    </row>
    <row r="6" spans="1:7" x14ac:dyDescent="0.2">
      <c r="A6">
        <v>3</v>
      </c>
      <c r="B6">
        <v>3.1640000000000001E-2</v>
      </c>
      <c r="C6">
        <v>0.1168</v>
      </c>
      <c r="D6">
        <v>0.33069999999999999</v>
      </c>
      <c r="E6">
        <v>1.071</v>
      </c>
      <c r="F6">
        <v>8.3720000000000003E-2</v>
      </c>
      <c r="G6">
        <v>0.27029999999999998</v>
      </c>
    </row>
    <row r="7" spans="1:7" x14ac:dyDescent="0.2">
      <c r="A7">
        <v>4</v>
      </c>
      <c r="B7">
        <v>3.2509999999999997E-2</v>
      </c>
      <c r="C7">
        <v>0.127</v>
      </c>
      <c r="D7">
        <v>0.43719999999999998</v>
      </c>
      <c r="E7">
        <v>1.149</v>
      </c>
      <c r="F7">
        <v>0.1137</v>
      </c>
      <c r="G7">
        <v>0.38879999999999998</v>
      </c>
    </row>
    <row r="8" spans="1:7" x14ac:dyDescent="0.2">
      <c r="A8">
        <v>5</v>
      </c>
      <c r="B8">
        <v>3.3410000000000002E-2</v>
      </c>
      <c r="C8">
        <v>0.1389</v>
      </c>
      <c r="D8">
        <v>0.54120000000000001</v>
      </c>
      <c r="E8">
        <v>1.2390000000000001</v>
      </c>
      <c r="F8">
        <v>0.14460000000000001</v>
      </c>
      <c r="G8">
        <v>0.52610000000000001</v>
      </c>
    </row>
    <row r="9" spans="1:7" x14ac:dyDescent="0.2">
      <c r="A9">
        <v>6</v>
      </c>
      <c r="B9">
        <v>3.4340000000000002E-2</v>
      </c>
      <c r="C9">
        <v>0.15260000000000001</v>
      </c>
      <c r="D9">
        <v>0.64219999999999999</v>
      </c>
      <c r="E9">
        <v>1.343</v>
      </c>
      <c r="F9">
        <v>0.1764</v>
      </c>
      <c r="G9">
        <v>0.68600000000000005</v>
      </c>
    </row>
    <row r="10" spans="1:7" x14ac:dyDescent="0.2">
      <c r="A10">
        <v>7</v>
      </c>
      <c r="B10">
        <v>3.5290000000000002E-2</v>
      </c>
      <c r="C10">
        <v>0.1686</v>
      </c>
      <c r="D10">
        <v>0.73980000000000001</v>
      </c>
      <c r="E10">
        <v>1.4630000000000001</v>
      </c>
      <c r="F10">
        <v>0.2089</v>
      </c>
      <c r="G10">
        <v>0.87309999999999999</v>
      </c>
    </row>
    <row r="11" spans="1:7" x14ac:dyDescent="0.2">
      <c r="A11">
        <v>8</v>
      </c>
      <c r="B11">
        <v>3.6269999999999997E-2</v>
      </c>
      <c r="C11">
        <v>0.18729999999999999</v>
      </c>
      <c r="D11">
        <v>0.83320000000000005</v>
      </c>
      <c r="E11">
        <v>1.601</v>
      </c>
      <c r="F11">
        <v>0.2417</v>
      </c>
      <c r="G11">
        <v>1.0920000000000001</v>
      </c>
    </row>
    <row r="12" spans="1:7" x14ac:dyDescent="0.2">
      <c r="A12">
        <v>9</v>
      </c>
      <c r="B12">
        <v>3.7249999999999998E-2</v>
      </c>
      <c r="C12">
        <v>0.2092</v>
      </c>
      <c r="D12">
        <v>0.92190000000000005</v>
      </c>
      <c r="E12">
        <v>1.7629999999999999</v>
      </c>
      <c r="F12">
        <v>0.2747</v>
      </c>
      <c r="G12">
        <v>1.35</v>
      </c>
    </row>
    <row r="13" spans="1:7" x14ac:dyDescent="0.2">
      <c r="A13">
        <v>10</v>
      </c>
      <c r="B13">
        <v>3.8240000000000003E-2</v>
      </c>
      <c r="C13">
        <v>0.23499999999999999</v>
      </c>
      <c r="D13">
        <v>1.0049999999999999</v>
      </c>
      <c r="E13">
        <v>1.9510000000000001</v>
      </c>
      <c r="F13">
        <v>0.30740000000000001</v>
      </c>
      <c r="G13">
        <v>1.653</v>
      </c>
    </row>
    <row r="14" spans="1:7" x14ac:dyDescent="0.2">
      <c r="A14">
        <v>11</v>
      </c>
      <c r="B14">
        <v>3.9219999999999998E-2</v>
      </c>
      <c r="C14">
        <v>0.26529999999999998</v>
      </c>
      <c r="D14">
        <v>1.081</v>
      </c>
      <c r="E14">
        <v>2.1709999999999998</v>
      </c>
      <c r="F14">
        <v>0.33939999999999998</v>
      </c>
      <c r="G14">
        <v>2.0089999999999999</v>
      </c>
    </row>
    <row r="15" spans="1:7" x14ac:dyDescent="0.2">
      <c r="A15">
        <v>12</v>
      </c>
      <c r="B15">
        <v>4.018E-2</v>
      </c>
      <c r="C15">
        <v>0.3009</v>
      </c>
      <c r="D15">
        <v>1.151</v>
      </c>
      <c r="E15">
        <v>2.4279999999999999</v>
      </c>
      <c r="F15">
        <v>0.36990000000000001</v>
      </c>
      <c r="G15">
        <v>2.4239999999999999</v>
      </c>
    </row>
    <row r="16" spans="1:7" x14ac:dyDescent="0.2">
      <c r="A16">
        <v>13</v>
      </c>
      <c r="B16">
        <v>4.1099999999999998E-2</v>
      </c>
      <c r="C16">
        <v>0.34239999999999998</v>
      </c>
      <c r="D16">
        <v>1.212</v>
      </c>
      <c r="E16">
        <v>2.7250000000000001</v>
      </c>
      <c r="F16">
        <v>0.39850000000000002</v>
      </c>
      <c r="G16">
        <v>2.9049999999999998</v>
      </c>
    </row>
    <row r="17" spans="1:7" x14ac:dyDescent="0.2">
      <c r="A17">
        <v>14</v>
      </c>
      <c r="B17">
        <v>4.1959999999999997E-2</v>
      </c>
      <c r="C17">
        <v>0.39050000000000001</v>
      </c>
      <c r="D17">
        <v>1.2649999999999999</v>
      </c>
      <c r="E17">
        <v>3.069</v>
      </c>
      <c r="F17">
        <v>0.42449999999999999</v>
      </c>
      <c r="G17">
        <v>3.4569999999999999</v>
      </c>
    </row>
    <row r="18" spans="1:7" x14ac:dyDescent="0.2">
      <c r="A18">
        <v>15</v>
      </c>
      <c r="B18">
        <v>4.274E-2</v>
      </c>
      <c r="C18">
        <v>0.44569999999999999</v>
      </c>
      <c r="D18">
        <v>1.3089999999999999</v>
      </c>
      <c r="E18">
        <v>3.4620000000000002</v>
      </c>
      <c r="F18">
        <v>0.44740000000000002</v>
      </c>
      <c r="G18">
        <v>4.0830000000000002</v>
      </c>
    </row>
    <row r="19" spans="1:7" x14ac:dyDescent="0.2">
      <c r="A19">
        <v>16</v>
      </c>
      <c r="B19">
        <v>4.342E-2</v>
      </c>
      <c r="C19">
        <v>0.50829999999999997</v>
      </c>
      <c r="D19">
        <v>1.3440000000000001</v>
      </c>
      <c r="E19">
        <v>3.9060000000000001</v>
      </c>
      <c r="F19">
        <v>0.46679999999999999</v>
      </c>
      <c r="G19">
        <v>4.782</v>
      </c>
    </row>
    <row r="20" spans="1:7" x14ac:dyDescent="0.2">
      <c r="A20">
        <v>17</v>
      </c>
      <c r="B20">
        <v>4.4010000000000001E-2</v>
      </c>
      <c r="C20">
        <v>0.57820000000000005</v>
      </c>
      <c r="D20">
        <v>1.371</v>
      </c>
      <c r="E20">
        <v>4.399</v>
      </c>
      <c r="F20">
        <v>0.48270000000000002</v>
      </c>
      <c r="G20">
        <v>5.5490000000000004</v>
      </c>
    </row>
    <row r="21" spans="1:7" x14ac:dyDescent="0.2">
      <c r="A21">
        <v>18</v>
      </c>
      <c r="B21">
        <v>4.4479999999999999E-2</v>
      </c>
      <c r="C21">
        <v>0.65490000000000004</v>
      </c>
      <c r="D21">
        <v>1.391</v>
      </c>
      <c r="E21">
        <v>4.9400000000000004</v>
      </c>
      <c r="F21">
        <v>0.495</v>
      </c>
      <c r="G21">
        <v>6.3769999999999998</v>
      </c>
    </row>
    <row r="22" spans="1:7" x14ac:dyDescent="0.2">
      <c r="A22">
        <v>19</v>
      </c>
      <c r="B22">
        <v>4.4850000000000001E-2</v>
      </c>
      <c r="C22">
        <v>0.73770000000000002</v>
      </c>
      <c r="D22">
        <v>1.405</v>
      </c>
      <c r="E22">
        <v>5.5229999999999997</v>
      </c>
      <c r="F22">
        <v>0.50409999999999999</v>
      </c>
      <c r="G22">
        <v>7.2549999999999999</v>
      </c>
    </row>
    <row r="23" spans="1:7" x14ac:dyDescent="0.2">
      <c r="A23">
        <v>20</v>
      </c>
      <c r="B23">
        <v>4.512E-2</v>
      </c>
      <c r="C23">
        <v>0.82550000000000001</v>
      </c>
      <c r="D23">
        <v>1.4139999999999999</v>
      </c>
      <c r="E23">
        <v>6.14</v>
      </c>
      <c r="F23">
        <v>0.51060000000000005</v>
      </c>
      <c r="G23">
        <v>8.1739999999999995</v>
      </c>
    </row>
    <row r="24" spans="1:7" x14ac:dyDescent="0.2">
      <c r="A24">
        <v>21</v>
      </c>
      <c r="B24">
        <v>4.5319999999999999E-2</v>
      </c>
      <c r="C24">
        <v>0.91739999999999999</v>
      </c>
      <c r="D24">
        <v>1.42</v>
      </c>
      <c r="E24">
        <v>6.7839999999999998</v>
      </c>
      <c r="F24">
        <v>0.51500000000000001</v>
      </c>
      <c r="G24">
        <v>9.1219999999999999</v>
      </c>
    </row>
    <row r="25" spans="1:7" x14ac:dyDescent="0.2">
      <c r="A25">
        <v>22</v>
      </c>
      <c r="B25">
        <v>4.5449999999999997E-2</v>
      </c>
      <c r="C25">
        <v>1.012</v>
      </c>
      <c r="D25">
        <v>1.4239999999999999</v>
      </c>
      <c r="E25">
        <v>7.4489999999999998</v>
      </c>
      <c r="F25">
        <v>0.51780000000000004</v>
      </c>
      <c r="G25">
        <v>10.09</v>
      </c>
    </row>
    <row r="26" spans="1:7" x14ac:dyDescent="0.2">
      <c r="A26">
        <v>23</v>
      </c>
      <c r="B26">
        <v>4.5530000000000001E-2</v>
      </c>
      <c r="C26">
        <v>1.109</v>
      </c>
      <c r="D26">
        <v>1.4259999999999999</v>
      </c>
      <c r="E26">
        <v>8.1270000000000007</v>
      </c>
      <c r="F26">
        <v>0.51949999999999996</v>
      </c>
      <c r="G26">
        <v>11.07</v>
      </c>
    </row>
    <row r="27" spans="1:7" x14ac:dyDescent="0.2">
      <c r="A27">
        <v>24</v>
      </c>
      <c r="B27">
        <v>4.5589999999999999E-2</v>
      </c>
      <c r="C27">
        <v>1.2070000000000001</v>
      </c>
      <c r="D27">
        <v>1.427</v>
      </c>
      <c r="E27">
        <v>8.8140000000000001</v>
      </c>
      <c r="F27">
        <v>0.52049999999999996</v>
      </c>
      <c r="G27">
        <v>12.06</v>
      </c>
    </row>
    <row r="28" spans="1:7" x14ac:dyDescent="0.2">
      <c r="A28">
        <v>25</v>
      </c>
      <c r="B28">
        <v>4.5620000000000001E-2</v>
      </c>
      <c r="C28">
        <v>1.306</v>
      </c>
      <c r="D28">
        <v>1.4279999999999999</v>
      </c>
      <c r="E28">
        <v>9.5069999999999997</v>
      </c>
      <c r="F28">
        <v>0.52110000000000001</v>
      </c>
      <c r="G28">
        <v>13.06</v>
      </c>
    </row>
    <row r="29" spans="1:7" x14ac:dyDescent="0.2">
      <c r="A29">
        <v>26</v>
      </c>
      <c r="B29">
        <v>4.5629999999999997E-2</v>
      </c>
      <c r="C29">
        <v>1.4059999999999999</v>
      </c>
      <c r="D29">
        <v>1.4279999999999999</v>
      </c>
      <c r="E29">
        <v>10.199999999999999</v>
      </c>
      <c r="F29">
        <v>0.52139999999999997</v>
      </c>
      <c r="G29">
        <v>14.05</v>
      </c>
    </row>
    <row r="30" spans="1:7" x14ac:dyDescent="0.2">
      <c r="A30">
        <v>27</v>
      </c>
      <c r="B30">
        <v>4.564E-2</v>
      </c>
      <c r="C30">
        <v>1.5049999999999999</v>
      </c>
      <c r="D30">
        <v>1.4279999999999999</v>
      </c>
      <c r="E30">
        <v>10.9</v>
      </c>
      <c r="F30">
        <v>0.52159999999999995</v>
      </c>
      <c r="G30">
        <v>15.05</v>
      </c>
    </row>
    <row r="31" spans="1:7" x14ac:dyDescent="0.2">
      <c r="A31">
        <v>28</v>
      </c>
      <c r="B31">
        <v>4.5650000000000003E-2</v>
      </c>
      <c r="C31">
        <v>1.605</v>
      </c>
      <c r="D31">
        <v>1.429</v>
      </c>
      <c r="E31">
        <v>11.6</v>
      </c>
      <c r="F31">
        <v>0.52170000000000005</v>
      </c>
      <c r="G31">
        <v>16.05</v>
      </c>
    </row>
    <row r="32" spans="1:7" x14ac:dyDescent="0.2">
      <c r="A32">
        <v>29</v>
      </c>
      <c r="B32">
        <v>4.5650000000000003E-2</v>
      </c>
      <c r="C32">
        <v>1.7050000000000001</v>
      </c>
      <c r="D32">
        <v>1.429</v>
      </c>
      <c r="E32">
        <v>12.3</v>
      </c>
      <c r="F32">
        <v>0.52170000000000005</v>
      </c>
      <c r="G32">
        <v>17.05</v>
      </c>
    </row>
    <row r="33" spans="1:13" x14ac:dyDescent="0.2">
      <c r="A33">
        <v>30</v>
      </c>
      <c r="B33">
        <v>4.5650000000000003E-2</v>
      </c>
      <c r="C33">
        <v>1.8049999999999999</v>
      </c>
      <c r="D33">
        <v>1.429</v>
      </c>
      <c r="E33">
        <v>13</v>
      </c>
      <c r="F33">
        <v>0.52170000000000005</v>
      </c>
      <c r="G33">
        <v>18.05</v>
      </c>
    </row>
    <row r="46" spans="1:13" ht="32" x14ac:dyDescent="0.4">
      <c r="A46" s="3" t="s">
        <v>8</v>
      </c>
    </row>
    <row r="47" spans="1:13" x14ac:dyDescent="0.2">
      <c r="G47" s="2"/>
      <c r="H47" s="2"/>
      <c r="I47" s="2"/>
    </row>
    <row r="48" spans="1:13" x14ac:dyDescent="0.2">
      <c r="A48" s="2"/>
      <c r="G48" s="5" t="s">
        <v>16</v>
      </c>
      <c r="H48" s="5" t="s">
        <v>10</v>
      </c>
      <c r="I48" s="5" t="s">
        <v>11</v>
      </c>
      <c r="J48" s="10" t="s">
        <v>27</v>
      </c>
      <c r="K48" s="5" t="s">
        <v>28</v>
      </c>
      <c r="L48" s="5" t="s">
        <v>29</v>
      </c>
      <c r="M48" s="5" t="s">
        <v>30</v>
      </c>
    </row>
    <row r="49" spans="1:26" x14ac:dyDescent="0.2">
      <c r="A49" s="2" t="s">
        <v>18</v>
      </c>
      <c r="E49">
        <v>8</v>
      </c>
      <c r="G49">
        <f>$E$53</f>
        <v>0.94</v>
      </c>
      <c r="H49" s="7">
        <f>$E$50*$A4-$E$49</f>
        <v>-7.76</v>
      </c>
      <c r="I49" s="7">
        <f>$E$51*$A4-$E$49</f>
        <v>-7.3</v>
      </c>
      <c r="J49" s="8">
        <f>1/$E$52</f>
        <v>1.4285714285714286</v>
      </c>
      <c r="K49" s="8">
        <f>$A4/($E$53+$E$49)</f>
        <v>0.11185682326621925</v>
      </c>
      <c r="L49" s="8">
        <f>1/$E$50</f>
        <v>4.166666666666667</v>
      </c>
      <c r="M49" s="8">
        <f>1/$E$51</f>
        <v>1.4285714285714286</v>
      </c>
    </row>
    <row r="50" spans="1:26" s="4" customFormat="1" x14ac:dyDescent="0.2">
      <c r="A50" s="5" t="s">
        <v>10</v>
      </c>
      <c r="B50" s="6" t="s">
        <v>12</v>
      </c>
      <c r="E50">
        <v>0.24</v>
      </c>
      <c r="G50">
        <f t="shared" ref="G50:G78" si="0">$E$53</f>
        <v>0.94</v>
      </c>
      <c r="H50" s="7">
        <f t="shared" ref="H50:H78" si="1">$E$50*$A5-$E$49</f>
        <v>-7.52</v>
      </c>
      <c r="I50" s="7">
        <f t="shared" ref="I50:I78" si="2">$E$51*$A5-$E$49</f>
        <v>-6.6</v>
      </c>
      <c r="J50" s="8">
        <f t="shared" ref="J50:J78" si="3">1/$E$52</f>
        <v>1.4285714285714286</v>
      </c>
      <c r="K50" s="8">
        <f t="shared" ref="K50:K78" si="4">$A5/($E$53+$E$49)</f>
        <v>0.2237136465324385</v>
      </c>
      <c r="L50" s="8">
        <f t="shared" ref="L50:L78" si="5">1/$E$50</f>
        <v>4.166666666666667</v>
      </c>
      <c r="M50" s="8">
        <f t="shared" ref="M50:M78" si="6">1/$E$51</f>
        <v>1.4285714285714286</v>
      </c>
      <c r="Z50"/>
    </row>
    <row r="51" spans="1:26" x14ac:dyDescent="0.2">
      <c r="A51" s="2" t="s">
        <v>11</v>
      </c>
      <c r="B51" t="s">
        <v>13</v>
      </c>
      <c r="E51">
        <v>0.7</v>
      </c>
      <c r="G51">
        <f t="shared" si="0"/>
        <v>0.94</v>
      </c>
      <c r="H51" s="7">
        <f t="shared" si="1"/>
        <v>-7.28</v>
      </c>
      <c r="I51" s="7">
        <f t="shared" si="2"/>
        <v>-5.9</v>
      </c>
      <c r="J51" s="8">
        <f t="shared" si="3"/>
        <v>1.4285714285714286</v>
      </c>
      <c r="K51" s="8">
        <f t="shared" si="4"/>
        <v>0.33557046979865773</v>
      </c>
      <c r="L51" s="8">
        <f t="shared" si="5"/>
        <v>4.166666666666667</v>
      </c>
      <c r="M51" s="8">
        <f t="shared" si="6"/>
        <v>1.4285714285714286</v>
      </c>
    </row>
    <row r="52" spans="1:26" x14ac:dyDescent="0.2">
      <c r="A52" s="2" t="s">
        <v>14</v>
      </c>
      <c r="B52" t="s">
        <v>15</v>
      </c>
      <c r="E52">
        <f>MAX(E50:E51)</f>
        <v>0.7</v>
      </c>
      <c r="G52">
        <f t="shared" si="0"/>
        <v>0.94</v>
      </c>
      <c r="H52" s="7">
        <f t="shared" si="1"/>
        <v>-7.04</v>
      </c>
      <c r="I52" s="7">
        <f t="shared" si="2"/>
        <v>-5.2</v>
      </c>
      <c r="J52" s="8">
        <f t="shared" si="3"/>
        <v>1.4285714285714286</v>
      </c>
      <c r="K52" s="8">
        <f t="shared" si="4"/>
        <v>0.447427293064877</v>
      </c>
      <c r="L52" s="8">
        <f t="shared" si="5"/>
        <v>4.166666666666667</v>
      </c>
      <c r="M52" s="8">
        <f t="shared" si="6"/>
        <v>1.4285714285714286</v>
      </c>
    </row>
    <row r="53" spans="1:26" x14ac:dyDescent="0.2">
      <c r="A53" s="2" t="s">
        <v>16</v>
      </c>
      <c r="B53" t="s">
        <v>17</v>
      </c>
      <c r="E53">
        <f>SUM(E50:E51)</f>
        <v>0.94</v>
      </c>
      <c r="G53">
        <f t="shared" si="0"/>
        <v>0.94</v>
      </c>
      <c r="H53" s="7">
        <f t="shared" si="1"/>
        <v>-6.8</v>
      </c>
      <c r="I53" s="7">
        <f t="shared" si="2"/>
        <v>-4.5</v>
      </c>
      <c r="J53" s="8">
        <f t="shared" si="3"/>
        <v>1.4285714285714286</v>
      </c>
      <c r="K53" s="8">
        <f t="shared" si="4"/>
        <v>0.5592841163310962</v>
      </c>
      <c r="L53" s="8">
        <f t="shared" si="5"/>
        <v>4.166666666666667</v>
      </c>
      <c r="M53" s="8">
        <f t="shared" si="6"/>
        <v>1.4285714285714286</v>
      </c>
    </row>
    <row r="54" spans="1:26" x14ac:dyDescent="0.2">
      <c r="A54" s="2" t="s">
        <v>9</v>
      </c>
      <c r="E54">
        <f>_xlfn.CEILING.MATH((E53+E49)/E52,1)</f>
        <v>13</v>
      </c>
      <c r="G54">
        <f t="shared" si="0"/>
        <v>0.94</v>
      </c>
      <c r="H54" s="7">
        <f t="shared" si="1"/>
        <v>-6.5600000000000005</v>
      </c>
      <c r="I54" s="7">
        <f t="shared" si="2"/>
        <v>-3.8000000000000007</v>
      </c>
      <c r="J54" s="8">
        <f t="shared" si="3"/>
        <v>1.4285714285714286</v>
      </c>
      <c r="K54" s="8">
        <f t="shared" si="4"/>
        <v>0.67114093959731547</v>
      </c>
      <c r="L54" s="8">
        <f t="shared" si="5"/>
        <v>4.166666666666667</v>
      </c>
      <c r="M54" s="8">
        <f t="shared" si="6"/>
        <v>1.4285714285714286</v>
      </c>
    </row>
    <row r="55" spans="1:26" x14ac:dyDescent="0.2">
      <c r="A55" s="2"/>
      <c r="G55">
        <f t="shared" si="0"/>
        <v>0.94</v>
      </c>
      <c r="H55" s="7">
        <f t="shared" si="1"/>
        <v>-6.32</v>
      </c>
      <c r="I55" s="7">
        <f t="shared" si="2"/>
        <v>-3.1000000000000005</v>
      </c>
      <c r="J55" s="8">
        <f t="shared" si="3"/>
        <v>1.4285714285714286</v>
      </c>
      <c r="K55" s="8">
        <f t="shared" si="4"/>
        <v>0.78299776286353473</v>
      </c>
      <c r="L55" s="8">
        <f t="shared" si="5"/>
        <v>4.166666666666667</v>
      </c>
      <c r="M55" s="8">
        <f t="shared" si="6"/>
        <v>1.4285714285714286</v>
      </c>
    </row>
    <row r="56" spans="1:26" x14ac:dyDescent="0.2">
      <c r="A56" s="2"/>
      <c r="G56">
        <f t="shared" si="0"/>
        <v>0.94</v>
      </c>
      <c r="H56" s="7">
        <f t="shared" si="1"/>
        <v>-6.08</v>
      </c>
      <c r="I56" s="7">
        <f t="shared" si="2"/>
        <v>-2.4000000000000004</v>
      </c>
      <c r="J56" s="8">
        <f t="shared" si="3"/>
        <v>1.4285714285714286</v>
      </c>
      <c r="K56" s="8">
        <f t="shared" si="4"/>
        <v>0.89485458612975399</v>
      </c>
      <c r="L56" s="8">
        <f t="shared" si="5"/>
        <v>4.166666666666667</v>
      </c>
      <c r="M56" s="8">
        <f t="shared" si="6"/>
        <v>1.4285714285714286</v>
      </c>
    </row>
    <row r="57" spans="1:26" x14ac:dyDescent="0.2">
      <c r="G57">
        <f t="shared" si="0"/>
        <v>0.94</v>
      </c>
      <c r="H57" s="7">
        <f t="shared" si="1"/>
        <v>-5.84</v>
      </c>
      <c r="I57" s="7">
        <f t="shared" si="2"/>
        <v>-1.7000000000000002</v>
      </c>
      <c r="J57" s="8">
        <f t="shared" si="3"/>
        <v>1.4285714285714286</v>
      </c>
      <c r="K57" s="8">
        <f t="shared" si="4"/>
        <v>1.0067114093959733</v>
      </c>
      <c r="L57" s="8">
        <f t="shared" si="5"/>
        <v>4.166666666666667</v>
      </c>
      <c r="M57" s="8">
        <f t="shared" si="6"/>
        <v>1.4285714285714286</v>
      </c>
    </row>
    <row r="58" spans="1:26" x14ac:dyDescent="0.2">
      <c r="G58">
        <f t="shared" si="0"/>
        <v>0.94</v>
      </c>
      <c r="H58" s="7">
        <f t="shared" si="1"/>
        <v>-5.6</v>
      </c>
      <c r="I58" s="7">
        <f t="shared" si="2"/>
        <v>-1</v>
      </c>
      <c r="J58" s="8">
        <f t="shared" si="3"/>
        <v>1.4285714285714286</v>
      </c>
      <c r="K58" s="8">
        <f t="shared" si="4"/>
        <v>1.1185682326621924</v>
      </c>
      <c r="L58" s="8">
        <f t="shared" si="5"/>
        <v>4.166666666666667</v>
      </c>
      <c r="M58" s="8">
        <f t="shared" si="6"/>
        <v>1.4285714285714286</v>
      </c>
    </row>
    <row r="59" spans="1:26" x14ac:dyDescent="0.2">
      <c r="G59">
        <f t="shared" si="0"/>
        <v>0.94</v>
      </c>
      <c r="H59" s="7">
        <f t="shared" si="1"/>
        <v>-5.36</v>
      </c>
      <c r="I59" s="7">
        <f t="shared" si="2"/>
        <v>-0.30000000000000071</v>
      </c>
      <c r="J59" s="8">
        <f t="shared" si="3"/>
        <v>1.4285714285714286</v>
      </c>
      <c r="K59" s="8">
        <f t="shared" si="4"/>
        <v>1.2304250559284118</v>
      </c>
      <c r="L59" s="8">
        <f t="shared" si="5"/>
        <v>4.166666666666667</v>
      </c>
      <c r="M59" s="8">
        <f t="shared" si="6"/>
        <v>1.4285714285714286</v>
      </c>
    </row>
    <row r="60" spans="1:26" x14ac:dyDescent="0.2">
      <c r="G60">
        <f t="shared" si="0"/>
        <v>0.94</v>
      </c>
      <c r="H60" s="7">
        <f t="shared" si="1"/>
        <v>-5.12</v>
      </c>
      <c r="I60" s="7">
        <f t="shared" si="2"/>
        <v>0.39999999999999858</v>
      </c>
      <c r="J60" s="8">
        <f t="shared" si="3"/>
        <v>1.4285714285714286</v>
      </c>
      <c r="K60" s="8">
        <f t="shared" si="4"/>
        <v>1.3422818791946309</v>
      </c>
      <c r="L60" s="8">
        <f t="shared" si="5"/>
        <v>4.166666666666667</v>
      </c>
      <c r="M60" s="8">
        <f t="shared" si="6"/>
        <v>1.4285714285714286</v>
      </c>
    </row>
    <row r="61" spans="1:26" x14ac:dyDescent="0.2">
      <c r="G61">
        <f t="shared" si="0"/>
        <v>0.94</v>
      </c>
      <c r="H61" s="7">
        <f t="shared" si="1"/>
        <v>-4.88</v>
      </c>
      <c r="I61" s="7">
        <f t="shared" si="2"/>
        <v>1.0999999999999996</v>
      </c>
      <c r="J61" s="8">
        <f t="shared" si="3"/>
        <v>1.4285714285714286</v>
      </c>
      <c r="K61" s="8">
        <f t="shared" si="4"/>
        <v>1.4541387024608501</v>
      </c>
      <c r="L61" s="8">
        <f t="shared" si="5"/>
        <v>4.166666666666667</v>
      </c>
      <c r="M61" s="8">
        <f t="shared" si="6"/>
        <v>1.4285714285714286</v>
      </c>
    </row>
    <row r="62" spans="1:26" x14ac:dyDescent="0.2">
      <c r="G62">
        <f t="shared" si="0"/>
        <v>0.94</v>
      </c>
      <c r="H62" s="7">
        <f t="shared" si="1"/>
        <v>-4.6400000000000006</v>
      </c>
      <c r="I62" s="7">
        <f t="shared" si="2"/>
        <v>1.7999999999999989</v>
      </c>
      <c r="J62" s="8">
        <f t="shared" si="3"/>
        <v>1.4285714285714286</v>
      </c>
      <c r="K62" s="8">
        <f t="shared" si="4"/>
        <v>1.5659955257270695</v>
      </c>
      <c r="L62" s="8">
        <f t="shared" si="5"/>
        <v>4.166666666666667</v>
      </c>
      <c r="M62" s="8">
        <f t="shared" si="6"/>
        <v>1.4285714285714286</v>
      </c>
    </row>
    <row r="63" spans="1:26" x14ac:dyDescent="0.2">
      <c r="G63">
        <f t="shared" si="0"/>
        <v>0.94</v>
      </c>
      <c r="H63" s="7">
        <f t="shared" si="1"/>
        <v>-4.4000000000000004</v>
      </c>
      <c r="I63" s="7">
        <f t="shared" si="2"/>
        <v>2.5</v>
      </c>
      <c r="J63" s="8">
        <f t="shared" si="3"/>
        <v>1.4285714285714286</v>
      </c>
      <c r="K63" s="8">
        <f t="shared" si="4"/>
        <v>1.6778523489932886</v>
      </c>
      <c r="L63" s="8">
        <f t="shared" si="5"/>
        <v>4.166666666666667</v>
      </c>
      <c r="M63" s="8">
        <f t="shared" si="6"/>
        <v>1.4285714285714286</v>
      </c>
    </row>
    <row r="64" spans="1:26" x14ac:dyDescent="0.2">
      <c r="G64">
        <f t="shared" si="0"/>
        <v>0.94</v>
      </c>
      <c r="H64" s="7">
        <f t="shared" si="1"/>
        <v>-4.16</v>
      </c>
      <c r="I64" s="7">
        <f t="shared" si="2"/>
        <v>3.1999999999999993</v>
      </c>
      <c r="J64" s="8">
        <f t="shared" si="3"/>
        <v>1.4285714285714286</v>
      </c>
      <c r="K64" s="8">
        <f t="shared" si="4"/>
        <v>1.789709172259508</v>
      </c>
      <c r="L64" s="8">
        <f t="shared" si="5"/>
        <v>4.166666666666667</v>
      </c>
      <c r="M64" s="8">
        <f t="shared" si="6"/>
        <v>1.4285714285714286</v>
      </c>
    </row>
    <row r="65" spans="7:13" x14ac:dyDescent="0.2">
      <c r="G65">
        <f t="shared" si="0"/>
        <v>0.94</v>
      </c>
      <c r="H65" s="7">
        <f t="shared" si="1"/>
        <v>-3.92</v>
      </c>
      <c r="I65" s="7">
        <f t="shared" si="2"/>
        <v>3.8999999999999986</v>
      </c>
      <c r="J65" s="8">
        <f t="shared" si="3"/>
        <v>1.4285714285714286</v>
      </c>
      <c r="K65" s="8">
        <f t="shared" si="4"/>
        <v>1.9015659955257271</v>
      </c>
      <c r="L65" s="8">
        <f t="shared" si="5"/>
        <v>4.166666666666667</v>
      </c>
      <c r="M65" s="8">
        <f t="shared" si="6"/>
        <v>1.4285714285714286</v>
      </c>
    </row>
    <row r="66" spans="7:13" x14ac:dyDescent="0.2">
      <c r="G66">
        <f t="shared" si="0"/>
        <v>0.94</v>
      </c>
      <c r="H66" s="7">
        <f t="shared" si="1"/>
        <v>-3.6799999999999997</v>
      </c>
      <c r="I66" s="7">
        <f t="shared" si="2"/>
        <v>4.5999999999999996</v>
      </c>
      <c r="J66" s="8">
        <f t="shared" si="3"/>
        <v>1.4285714285714286</v>
      </c>
      <c r="K66" s="8">
        <f t="shared" si="4"/>
        <v>2.0134228187919465</v>
      </c>
      <c r="L66" s="8">
        <f t="shared" si="5"/>
        <v>4.166666666666667</v>
      </c>
      <c r="M66" s="8">
        <f t="shared" si="6"/>
        <v>1.4285714285714286</v>
      </c>
    </row>
    <row r="67" spans="7:13" x14ac:dyDescent="0.2">
      <c r="G67">
        <f t="shared" si="0"/>
        <v>0.94</v>
      </c>
      <c r="H67" s="7">
        <f t="shared" si="1"/>
        <v>-3.4400000000000004</v>
      </c>
      <c r="I67" s="7">
        <f t="shared" si="2"/>
        <v>5.2999999999999989</v>
      </c>
      <c r="J67" s="8">
        <f t="shared" si="3"/>
        <v>1.4285714285714286</v>
      </c>
      <c r="K67" s="8">
        <f t="shared" si="4"/>
        <v>2.1252796420581657</v>
      </c>
      <c r="L67" s="8">
        <f t="shared" si="5"/>
        <v>4.166666666666667</v>
      </c>
      <c r="M67" s="8">
        <f t="shared" si="6"/>
        <v>1.4285714285714286</v>
      </c>
    </row>
    <row r="68" spans="7:13" x14ac:dyDescent="0.2">
      <c r="G68">
        <f t="shared" si="0"/>
        <v>0.94</v>
      </c>
      <c r="H68" s="7">
        <f t="shared" si="1"/>
        <v>-3.2</v>
      </c>
      <c r="I68" s="7">
        <f t="shared" si="2"/>
        <v>6</v>
      </c>
      <c r="J68" s="8">
        <f t="shared" si="3"/>
        <v>1.4285714285714286</v>
      </c>
      <c r="K68" s="8">
        <f t="shared" si="4"/>
        <v>2.2371364653243848</v>
      </c>
      <c r="L68" s="8">
        <f t="shared" si="5"/>
        <v>4.166666666666667</v>
      </c>
      <c r="M68" s="8">
        <f t="shared" si="6"/>
        <v>1.4285714285714286</v>
      </c>
    </row>
    <row r="69" spans="7:13" x14ac:dyDescent="0.2">
      <c r="G69">
        <f t="shared" si="0"/>
        <v>0.94</v>
      </c>
      <c r="H69" s="7">
        <f t="shared" si="1"/>
        <v>-2.96</v>
      </c>
      <c r="I69" s="7">
        <f t="shared" si="2"/>
        <v>6.6999999999999993</v>
      </c>
      <c r="J69" s="8">
        <f t="shared" si="3"/>
        <v>1.4285714285714286</v>
      </c>
      <c r="K69" s="8">
        <f t="shared" si="4"/>
        <v>2.348993288590604</v>
      </c>
      <c r="L69" s="8">
        <f t="shared" si="5"/>
        <v>4.166666666666667</v>
      </c>
      <c r="M69" s="8">
        <f t="shared" si="6"/>
        <v>1.4285714285714286</v>
      </c>
    </row>
    <row r="70" spans="7:13" x14ac:dyDescent="0.2">
      <c r="G70">
        <f t="shared" si="0"/>
        <v>0.94</v>
      </c>
      <c r="H70" s="7">
        <f t="shared" si="1"/>
        <v>-2.7200000000000006</v>
      </c>
      <c r="I70" s="7">
        <f t="shared" si="2"/>
        <v>7.3999999999999986</v>
      </c>
      <c r="J70" s="8">
        <f t="shared" si="3"/>
        <v>1.4285714285714286</v>
      </c>
      <c r="K70" s="8">
        <f t="shared" si="4"/>
        <v>2.4608501118568236</v>
      </c>
      <c r="L70" s="8">
        <f t="shared" si="5"/>
        <v>4.166666666666667</v>
      </c>
      <c r="M70" s="8">
        <f t="shared" si="6"/>
        <v>1.4285714285714286</v>
      </c>
    </row>
    <row r="71" spans="7:13" x14ac:dyDescent="0.2">
      <c r="G71">
        <f t="shared" si="0"/>
        <v>0.94</v>
      </c>
      <c r="H71" s="7">
        <f t="shared" si="1"/>
        <v>-2.4800000000000004</v>
      </c>
      <c r="I71" s="7">
        <f t="shared" si="2"/>
        <v>8.0999999999999979</v>
      </c>
      <c r="J71" s="8">
        <f t="shared" si="3"/>
        <v>1.4285714285714286</v>
      </c>
      <c r="K71" s="8">
        <f t="shared" si="4"/>
        <v>2.5727069351230427</v>
      </c>
      <c r="L71" s="8">
        <f t="shared" si="5"/>
        <v>4.166666666666667</v>
      </c>
      <c r="M71" s="8">
        <f t="shared" si="6"/>
        <v>1.4285714285714286</v>
      </c>
    </row>
    <row r="72" spans="7:13" x14ac:dyDescent="0.2">
      <c r="G72">
        <f t="shared" si="0"/>
        <v>0.94</v>
      </c>
      <c r="H72" s="7">
        <f t="shared" si="1"/>
        <v>-2.2400000000000002</v>
      </c>
      <c r="I72" s="7">
        <f t="shared" si="2"/>
        <v>8.7999999999999972</v>
      </c>
      <c r="J72" s="8">
        <f t="shared" si="3"/>
        <v>1.4285714285714286</v>
      </c>
      <c r="K72" s="8">
        <f>$A27/($E$53+$E$49)</f>
        <v>2.6845637583892619</v>
      </c>
      <c r="L72" s="8">
        <f t="shared" si="5"/>
        <v>4.166666666666667</v>
      </c>
      <c r="M72" s="8">
        <f t="shared" si="6"/>
        <v>1.4285714285714286</v>
      </c>
    </row>
    <row r="73" spans="7:13" x14ac:dyDescent="0.2">
      <c r="G73">
        <f t="shared" si="0"/>
        <v>0.94</v>
      </c>
      <c r="H73" s="7">
        <f t="shared" si="1"/>
        <v>-2</v>
      </c>
      <c r="I73" s="7">
        <f t="shared" si="2"/>
        <v>9.5</v>
      </c>
      <c r="J73" s="8">
        <f t="shared" si="3"/>
        <v>1.4285714285714286</v>
      </c>
      <c r="K73" s="8">
        <f t="shared" si="4"/>
        <v>2.796420581655481</v>
      </c>
      <c r="L73" s="8">
        <f t="shared" si="5"/>
        <v>4.166666666666667</v>
      </c>
      <c r="M73" s="8">
        <f t="shared" si="6"/>
        <v>1.4285714285714286</v>
      </c>
    </row>
    <row r="74" spans="7:13" x14ac:dyDescent="0.2">
      <c r="G74">
        <f t="shared" si="0"/>
        <v>0.94</v>
      </c>
      <c r="H74" s="7">
        <f t="shared" si="1"/>
        <v>-1.7599999999999998</v>
      </c>
      <c r="I74" s="7">
        <f t="shared" si="2"/>
        <v>10.199999999999999</v>
      </c>
      <c r="J74" s="8">
        <f t="shared" si="3"/>
        <v>1.4285714285714286</v>
      </c>
      <c r="K74" s="8">
        <f t="shared" si="4"/>
        <v>2.9082774049217002</v>
      </c>
      <c r="L74" s="8">
        <f t="shared" si="5"/>
        <v>4.166666666666667</v>
      </c>
      <c r="M74" s="8">
        <f t="shared" si="6"/>
        <v>1.4285714285714286</v>
      </c>
    </row>
    <row r="75" spans="7:13" x14ac:dyDescent="0.2">
      <c r="G75">
        <f t="shared" si="0"/>
        <v>0.94</v>
      </c>
      <c r="H75" s="7">
        <f t="shared" si="1"/>
        <v>-1.5200000000000005</v>
      </c>
      <c r="I75" s="7">
        <f t="shared" si="2"/>
        <v>10.899999999999999</v>
      </c>
      <c r="J75" s="8">
        <f t="shared" si="3"/>
        <v>1.4285714285714286</v>
      </c>
      <c r="K75" s="8">
        <f t="shared" si="4"/>
        <v>3.0201342281879198</v>
      </c>
      <c r="L75" s="8">
        <f t="shared" si="5"/>
        <v>4.166666666666667</v>
      </c>
      <c r="M75" s="8">
        <f t="shared" si="6"/>
        <v>1.4285714285714286</v>
      </c>
    </row>
    <row r="76" spans="7:13" x14ac:dyDescent="0.2">
      <c r="G76">
        <f t="shared" si="0"/>
        <v>0.94</v>
      </c>
      <c r="H76" s="7">
        <f t="shared" si="1"/>
        <v>-1.2800000000000002</v>
      </c>
      <c r="I76" s="7">
        <f t="shared" si="2"/>
        <v>11.599999999999998</v>
      </c>
      <c r="J76" s="8">
        <f t="shared" si="3"/>
        <v>1.4285714285714286</v>
      </c>
      <c r="K76" s="8">
        <f t="shared" si="4"/>
        <v>3.1319910514541389</v>
      </c>
      <c r="L76" s="8">
        <f t="shared" si="5"/>
        <v>4.166666666666667</v>
      </c>
      <c r="M76" s="8">
        <f t="shared" si="6"/>
        <v>1.4285714285714286</v>
      </c>
    </row>
    <row r="77" spans="7:13" x14ac:dyDescent="0.2">
      <c r="G77">
        <f t="shared" si="0"/>
        <v>0.94</v>
      </c>
      <c r="H77" s="7">
        <f t="shared" si="1"/>
        <v>-1.04</v>
      </c>
      <c r="I77" s="7">
        <f t="shared" si="2"/>
        <v>12.299999999999997</v>
      </c>
      <c r="J77" s="8">
        <f t="shared" si="3"/>
        <v>1.4285714285714286</v>
      </c>
      <c r="K77" s="8">
        <f t="shared" si="4"/>
        <v>3.2438478747203581</v>
      </c>
      <c r="L77" s="8">
        <f t="shared" si="5"/>
        <v>4.166666666666667</v>
      </c>
      <c r="M77" s="8">
        <f t="shared" si="6"/>
        <v>1.4285714285714286</v>
      </c>
    </row>
    <row r="78" spans="7:13" x14ac:dyDescent="0.2">
      <c r="G78">
        <f t="shared" si="0"/>
        <v>0.94</v>
      </c>
      <c r="H78" s="7">
        <f t="shared" si="1"/>
        <v>-0.80000000000000071</v>
      </c>
      <c r="I78" s="7">
        <f t="shared" si="2"/>
        <v>13</v>
      </c>
      <c r="J78" s="8">
        <f t="shared" si="3"/>
        <v>1.4285714285714286</v>
      </c>
      <c r="K78" s="8">
        <f t="shared" si="4"/>
        <v>3.3557046979865772</v>
      </c>
      <c r="L78" s="8">
        <f t="shared" si="5"/>
        <v>4.166666666666667</v>
      </c>
      <c r="M78" s="8">
        <f t="shared" si="6"/>
        <v>1.4285714285714286</v>
      </c>
    </row>
    <row r="93" spans="1:25" ht="32" x14ac:dyDescent="0.4">
      <c r="A93" s="3" t="s">
        <v>19</v>
      </c>
    </row>
    <row r="95" spans="1:25" x14ac:dyDescent="0.2">
      <c r="A95" t="s">
        <v>0</v>
      </c>
      <c r="B95" t="s">
        <v>1</v>
      </c>
      <c r="C95" t="s">
        <v>2</v>
      </c>
      <c r="D95" t="s">
        <v>20</v>
      </c>
      <c r="E95" t="s">
        <v>4</v>
      </c>
      <c r="F95" t="s">
        <v>3</v>
      </c>
      <c r="G95" t="s">
        <v>5</v>
      </c>
      <c r="H95" t="s">
        <v>6</v>
      </c>
      <c r="I95" t="s">
        <v>21</v>
      </c>
      <c r="J95" s="9" t="s">
        <v>16</v>
      </c>
      <c r="K95" s="9" t="s">
        <v>10</v>
      </c>
      <c r="L95" t="s">
        <v>11</v>
      </c>
      <c r="M95" t="s">
        <v>22</v>
      </c>
      <c r="N95" t="s">
        <v>27</v>
      </c>
      <c r="O95" t="s">
        <v>28</v>
      </c>
      <c r="P95" t="s">
        <v>29</v>
      </c>
      <c r="Q95" t="s">
        <v>30</v>
      </c>
      <c r="R95" t="s">
        <v>31</v>
      </c>
      <c r="T95" s="2" t="s">
        <v>18</v>
      </c>
      <c r="Y95">
        <v>8</v>
      </c>
    </row>
    <row r="96" spans="1:25" x14ac:dyDescent="0.2">
      <c r="A96" s="7">
        <v>1</v>
      </c>
      <c r="B96">
        <v>0.03</v>
      </c>
      <c r="C96">
        <v>0.1</v>
      </c>
      <c r="D96">
        <v>0.1</v>
      </c>
      <c r="E96">
        <v>0.1119</v>
      </c>
      <c r="F96">
        <v>0.94</v>
      </c>
      <c r="G96">
        <v>2.6849999999999999E-2</v>
      </c>
      <c r="H96">
        <v>3.9149999999999997E-2</v>
      </c>
      <c r="I96">
        <v>3.9149999999999997E-2</v>
      </c>
      <c r="J96">
        <f t="shared" ref="J96:J127" si="7">$Y$100</f>
        <v>0.94</v>
      </c>
      <c r="K96" s="8">
        <f t="shared" ref="K96:K127" si="8">$Y$96*$A96-$Y$95</f>
        <v>-7.76</v>
      </c>
      <c r="L96" s="8">
        <f t="shared" ref="L96:L127" si="9">$Y$97*$A96-$Y$95</f>
        <v>-7.65</v>
      </c>
      <c r="M96" s="8">
        <f t="shared" ref="M96:M127" si="10">$Y$98*$A96-$Y$95</f>
        <v>-7.65</v>
      </c>
      <c r="N96" s="8">
        <f t="shared" ref="N96:N127" si="11">1/$Y$99</f>
        <v>2.8571428571428572</v>
      </c>
      <c r="O96" s="8">
        <f>Table3[[#This Row],[N]]/($Y$100+$Y$95)</f>
        <v>0.11185682326621925</v>
      </c>
      <c r="P96" s="8">
        <f t="shared" ref="P96:P127" si="12">1/$Y$96</f>
        <v>4.166666666666667</v>
      </c>
      <c r="Q96" s="8">
        <f>1/$Y$97</f>
        <v>2.8571428571428572</v>
      </c>
      <c r="R96" s="8">
        <f>1/$Y$98</f>
        <v>2.8571428571428572</v>
      </c>
      <c r="T96" s="5" t="s">
        <v>10</v>
      </c>
      <c r="U96" s="6" t="s">
        <v>12</v>
      </c>
      <c r="V96" s="4"/>
      <c r="W96" s="4"/>
      <c r="Y96">
        <v>0.24</v>
      </c>
    </row>
    <row r="97" spans="1:25" x14ac:dyDescent="0.2">
      <c r="A97" s="7">
        <v>2</v>
      </c>
      <c r="B97">
        <v>3.0810000000000001E-2</v>
      </c>
      <c r="C97">
        <v>0.10390000000000001</v>
      </c>
      <c r="D97">
        <v>0.10390000000000001</v>
      </c>
      <c r="E97">
        <v>0.22289999999999999</v>
      </c>
      <c r="F97">
        <v>0.9738</v>
      </c>
      <c r="G97">
        <v>5.4919999999999997E-2</v>
      </c>
      <c r="H97">
        <v>8.1059999999999993E-2</v>
      </c>
      <c r="I97">
        <v>8.1059999999999993E-2</v>
      </c>
      <c r="J97">
        <f t="shared" si="7"/>
        <v>0.94</v>
      </c>
      <c r="K97" s="8">
        <f t="shared" si="8"/>
        <v>-7.52</v>
      </c>
      <c r="L97" s="8">
        <f t="shared" si="9"/>
        <v>-7.3</v>
      </c>
      <c r="M97" s="8">
        <f t="shared" si="10"/>
        <v>-7.3</v>
      </c>
      <c r="N97" s="8">
        <f t="shared" si="11"/>
        <v>2.8571428571428572</v>
      </c>
      <c r="O97" s="8">
        <f>Table3[[#This Row],[N]]/($Y$100+$Y$95)</f>
        <v>0.2237136465324385</v>
      </c>
      <c r="P97" s="8">
        <f t="shared" si="12"/>
        <v>4.166666666666667</v>
      </c>
      <c r="Q97" s="8">
        <f t="shared" ref="Q97:Q127" si="13">1/$Y$97</f>
        <v>2.8571428571428572</v>
      </c>
      <c r="R97" s="8">
        <f t="shared" ref="R97:R127" si="14">1/$Y$98</f>
        <v>2.8571428571428572</v>
      </c>
      <c r="T97" s="2" t="s">
        <v>11</v>
      </c>
      <c r="U97" t="s">
        <v>24</v>
      </c>
      <c r="Y97">
        <v>0.35</v>
      </c>
    </row>
    <row r="98" spans="1:25" x14ac:dyDescent="0.2">
      <c r="A98" s="7">
        <v>3</v>
      </c>
      <c r="B98">
        <v>3.1649999999999998E-2</v>
      </c>
      <c r="C98">
        <v>0.1081</v>
      </c>
      <c r="D98">
        <v>0.1081</v>
      </c>
      <c r="E98">
        <v>0.33300000000000002</v>
      </c>
      <c r="F98">
        <v>1.01</v>
      </c>
      <c r="G98">
        <v>8.43E-2</v>
      </c>
      <c r="H98">
        <v>0.126</v>
      </c>
      <c r="I98">
        <v>0.126</v>
      </c>
      <c r="J98">
        <f t="shared" si="7"/>
        <v>0.94</v>
      </c>
      <c r="K98" s="8">
        <f t="shared" si="8"/>
        <v>-7.28</v>
      </c>
      <c r="L98" s="8">
        <f t="shared" si="9"/>
        <v>-6.95</v>
      </c>
      <c r="M98" s="8">
        <f t="shared" si="10"/>
        <v>-6.95</v>
      </c>
      <c r="N98" s="8">
        <f t="shared" si="11"/>
        <v>2.8571428571428572</v>
      </c>
      <c r="O98" s="8">
        <f>Table3[[#This Row],[N]]/($Y$100+$Y$95)</f>
        <v>0.33557046979865773</v>
      </c>
      <c r="P98" s="8">
        <f t="shared" si="12"/>
        <v>4.166666666666667</v>
      </c>
      <c r="Q98" s="8">
        <f t="shared" si="13"/>
        <v>2.8571428571428572</v>
      </c>
      <c r="R98" s="8">
        <f t="shared" si="14"/>
        <v>2.8571428571428572</v>
      </c>
      <c r="T98" s="2" t="s">
        <v>22</v>
      </c>
      <c r="U98" t="s">
        <v>23</v>
      </c>
      <c r="Y98">
        <v>0.35</v>
      </c>
    </row>
    <row r="99" spans="1:25" x14ac:dyDescent="0.2">
      <c r="A99" s="7">
        <v>4</v>
      </c>
      <c r="B99">
        <v>3.2530000000000003E-2</v>
      </c>
      <c r="C99">
        <v>0.11260000000000001</v>
      </c>
      <c r="D99">
        <v>0.11260000000000001</v>
      </c>
      <c r="E99">
        <v>0.44209999999999999</v>
      </c>
      <c r="F99">
        <v>1.048</v>
      </c>
      <c r="G99">
        <v>0.115</v>
      </c>
      <c r="H99">
        <v>0.17419999999999999</v>
      </c>
      <c r="I99">
        <v>0.17419999999999999</v>
      </c>
      <c r="J99">
        <f t="shared" si="7"/>
        <v>0.94</v>
      </c>
      <c r="K99" s="8">
        <f t="shared" si="8"/>
        <v>-7.04</v>
      </c>
      <c r="L99" s="8">
        <f t="shared" si="9"/>
        <v>-6.6</v>
      </c>
      <c r="M99" s="8">
        <f t="shared" si="10"/>
        <v>-6.6</v>
      </c>
      <c r="N99" s="8">
        <f t="shared" si="11"/>
        <v>2.8571428571428572</v>
      </c>
      <c r="O99" s="8">
        <f>Table3[[#This Row],[N]]/($Y$100+$Y$95)</f>
        <v>0.447427293064877</v>
      </c>
      <c r="P99" s="8">
        <f t="shared" si="12"/>
        <v>4.166666666666667</v>
      </c>
      <c r="Q99" s="8">
        <f t="shared" si="13"/>
        <v>2.8571428571428572</v>
      </c>
      <c r="R99" s="8">
        <f t="shared" si="14"/>
        <v>2.8571428571428572</v>
      </c>
      <c r="T99" s="2" t="s">
        <v>14</v>
      </c>
      <c r="U99" t="s">
        <v>25</v>
      </c>
      <c r="Y99">
        <f>MAX(Y96:Y98)</f>
        <v>0.35</v>
      </c>
    </row>
    <row r="100" spans="1:25" x14ac:dyDescent="0.2">
      <c r="A100" s="7">
        <v>5</v>
      </c>
      <c r="B100">
        <v>3.3450000000000001E-2</v>
      </c>
      <c r="C100">
        <v>0.1174</v>
      </c>
      <c r="D100">
        <v>0.1174</v>
      </c>
      <c r="E100">
        <v>0.55010000000000003</v>
      </c>
      <c r="F100">
        <v>1.0900000000000001</v>
      </c>
      <c r="G100">
        <v>0.1472</v>
      </c>
      <c r="H100">
        <v>0.2261</v>
      </c>
      <c r="I100">
        <v>0.2261</v>
      </c>
      <c r="J100">
        <f t="shared" si="7"/>
        <v>0.94</v>
      </c>
      <c r="K100" s="8">
        <f t="shared" si="8"/>
        <v>-6.8</v>
      </c>
      <c r="L100" s="8">
        <f t="shared" si="9"/>
        <v>-6.25</v>
      </c>
      <c r="M100" s="8">
        <f t="shared" si="10"/>
        <v>-6.25</v>
      </c>
      <c r="N100" s="8">
        <f t="shared" si="11"/>
        <v>2.8571428571428572</v>
      </c>
      <c r="O100" s="8">
        <f>Table3[[#This Row],[N]]/($Y$100+$Y$95)</f>
        <v>0.5592841163310962</v>
      </c>
      <c r="P100" s="8">
        <f t="shared" si="12"/>
        <v>4.166666666666667</v>
      </c>
      <c r="Q100" s="8">
        <f t="shared" si="13"/>
        <v>2.8571428571428572</v>
      </c>
      <c r="R100" s="8">
        <f t="shared" si="14"/>
        <v>2.8571428571428572</v>
      </c>
      <c r="T100" s="2" t="s">
        <v>16</v>
      </c>
      <c r="U100" t="s">
        <v>26</v>
      </c>
      <c r="Y100">
        <f>SUM(Y96:Y98)</f>
        <v>0.94</v>
      </c>
    </row>
    <row r="101" spans="1:25" x14ac:dyDescent="0.2">
      <c r="A101" s="7">
        <v>6</v>
      </c>
      <c r="B101">
        <v>3.4419999999999999E-2</v>
      </c>
      <c r="C101">
        <v>0.1226</v>
      </c>
      <c r="D101">
        <v>0.1226</v>
      </c>
      <c r="E101">
        <v>0.65690000000000004</v>
      </c>
      <c r="F101">
        <v>1.1339999999999999</v>
      </c>
      <c r="G101">
        <v>0.18090000000000001</v>
      </c>
      <c r="H101">
        <v>0.28189999999999998</v>
      </c>
      <c r="I101">
        <v>0.28189999999999998</v>
      </c>
      <c r="J101">
        <f t="shared" si="7"/>
        <v>0.94</v>
      </c>
      <c r="K101" s="8">
        <f t="shared" si="8"/>
        <v>-6.5600000000000005</v>
      </c>
      <c r="L101" s="8">
        <f t="shared" si="9"/>
        <v>-5.9</v>
      </c>
      <c r="M101" s="8">
        <f t="shared" si="10"/>
        <v>-5.9</v>
      </c>
      <c r="N101" s="8">
        <f t="shared" si="11"/>
        <v>2.8571428571428572</v>
      </c>
      <c r="O101" s="8">
        <f>Table3[[#This Row],[N]]/($Y$100+$Y$95)</f>
        <v>0.67114093959731547</v>
      </c>
      <c r="P101" s="8">
        <f t="shared" si="12"/>
        <v>4.166666666666667</v>
      </c>
      <c r="Q101" s="8">
        <f t="shared" si="13"/>
        <v>2.8571428571428572</v>
      </c>
      <c r="R101" s="8">
        <f t="shared" si="14"/>
        <v>2.8571428571428572</v>
      </c>
      <c r="T101" s="2" t="s">
        <v>9</v>
      </c>
      <c r="Y101">
        <f>_xlfn.CEILING.MATH((Y100+Y95)/Y99,1)</f>
        <v>26</v>
      </c>
    </row>
    <row r="102" spans="1:25" x14ac:dyDescent="0.2">
      <c r="A102" s="7">
        <v>7</v>
      </c>
      <c r="B102">
        <v>3.5430000000000003E-2</v>
      </c>
      <c r="C102">
        <v>0.12820000000000001</v>
      </c>
      <c r="D102">
        <v>0.12820000000000001</v>
      </c>
      <c r="E102">
        <v>0.76249999999999996</v>
      </c>
      <c r="F102">
        <v>1.181</v>
      </c>
      <c r="G102">
        <v>0.21609999999999999</v>
      </c>
      <c r="H102">
        <v>0.34210000000000002</v>
      </c>
      <c r="I102">
        <v>0.34210000000000002</v>
      </c>
      <c r="J102">
        <f t="shared" si="7"/>
        <v>0.94</v>
      </c>
      <c r="K102" s="8">
        <f t="shared" si="8"/>
        <v>-6.32</v>
      </c>
      <c r="L102" s="8">
        <f t="shared" si="9"/>
        <v>-5.5500000000000007</v>
      </c>
      <c r="M102" s="8">
        <f t="shared" si="10"/>
        <v>-5.5500000000000007</v>
      </c>
      <c r="N102" s="8">
        <f t="shared" si="11"/>
        <v>2.8571428571428572</v>
      </c>
      <c r="O102" s="8">
        <f>Table3[[#This Row],[N]]/($Y$100+$Y$95)</f>
        <v>0.78299776286353473</v>
      </c>
      <c r="P102" s="8">
        <f t="shared" si="12"/>
        <v>4.166666666666667</v>
      </c>
      <c r="Q102" s="8">
        <f t="shared" si="13"/>
        <v>2.8571428571428572</v>
      </c>
      <c r="R102" s="8">
        <f t="shared" si="14"/>
        <v>2.8571428571428572</v>
      </c>
    </row>
    <row r="103" spans="1:25" x14ac:dyDescent="0.2">
      <c r="A103" s="7">
        <v>8</v>
      </c>
      <c r="B103">
        <v>3.6479999999999999E-2</v>
      </c>
      <c r="C103">
        <v>0.13420000000000001</v>
      </c>
      <c r="D103">
        <v>0.13420000000000001</v>
      </c>
      <c r="E103">
        <v>0.86660000000000004</v>
      </c>
      <c r="F103">
        <v>1.2310000000000001</v>
      </c>
      <c r="G103">
        <v>0.25290000000000001</v>
      </c>
      <c r="H103">
        <v>0.40710000000000002</v>
      </c>
      <c r="I103">
        <v>0.40710000000000002</v>
      </c>
      <c r="J103">
        <f t="shared" si="7"/>
        <v>0.94</v>
      </c>
      <c r="K103" s="8">
        <f t="shared" si="8"/>
        <v>-6.08</v>
      </c>
      <c r="L103" s="8">
        <f t="shared" si="9"/>
        <v>-5.2</v>
      </c>
      <c r="M103" s="8">
        <f t="shared" si="10"/>
        <v>-5.2</v>
      </c>
      <c r="N103" s="8">
        <f t="shared" si="11"/>
        <v>2.8571428571428572</v>
      </c>
      <c r="O103" s="8">
        <f>Table3[[#This Row],[N]]/($Y$100+$Y$95)</f>
        <v>0.89485458612975399</v>
      </c>
      <c r="P103" s="8">
        <f t="shared" si="12"/>
        <v>4.166666666666667</v>
      </c>
      <c r="Q103" s="8">
        <f t="shared" si="13"/>
        <v>2.8571428571428572</v>
      </c>
      <c r="R103" s="8">
        <f t="shared" si="14"/>
        <v>2.8571428571428572</v>
      </c>
    </row>
    <row r="104" spans="1:25" x14ac:dyDescent="0.2">
      <c r="A104" s="7">
        <v>9</v>
      </c>
      <c r="B104">
        <v>3.7589999999999998E-2</v>
      </c>
      <c r="C104">
        <v>0.14069999999999999</v>
      </c>
      <c r="D104">
        <v>0.14069999999999999</v>
      </c>
      <c r="E104">
        <v>0.96919999999999995</v>
      </c>
      <c r="F104">
        <v>1.286</v>
      </c>
      <c r="G104">
        <v>0.29149999999999998</v>
      </c>
      <c r="H104">
        <v>0.4773</v>
      </c>
      <c r="I104">
        <v>0.4773</v>
      </c>
      <c r="J104">
        <f t="shared" si="7"/>
        <v>0.94</v>
      </c>
      <c r="K104" s="8">
        <f t="shared" si="8"/>
        <v>-5.84</v>
      </c>
      <c r="L104" s="8">
        <f t="shared" si="9"/>
        <v>-4.8499999999999996</v>
      </c>
      <c r="M104" s="8">
        <f t="shared" si="10"/>
        <v>-4.8499999999999996</v>
      </c>
      <c r="N104" s="8">
        <f t="shared" si="11"/>
        <v>2.8571428571428572</v>
      </c>
      <c r="O104" s="8">
        <f>Table3[[#This Row],[N]]/($Y$100+$Y$95)</f>
        <v>1.0067114093959733</v>
      </c>
      <c r="P104" s="8">
        <f t="shared" si="12"/>
        <v>4.166666666666667</v>
      </c>
      <c r="Q104" s="8">
        <f t="shared" si="13"/>
        <v>2.8571428571428572</v>
      </c>
      <c r="R104" s="8">
        <f t="shared" si="14"/>
        <v>2.8571428571428572</v>
      </c>
    </row>
    <row r="105" spans="1:25" x14ac:dyDescent="0.2">
      <c r="A105" s="7">
        <v>10</v>
      </c>
      <c r="B105">
        <v>3.8739999999999997E-2</v>
      </c>
      <c r="C105">
        <v>0.1477</v>
      </c>
      <c r="D105">
        <v>0.1477</v>
      </c>
      <c r="E105">
        <v>1.07</v>
      </c>
      <c r="F105">
        <v>1.3440000000000001</v>
      </c>
      <c r="G105">
        <v>0.33169999999999999</v>
      </c>
      <c r="H105">
        <v>0.5534</v>
      </c>
      <c r="I105">
        <v>0.5534</v>
      </c>
      <c r="J105">
        <f t="shared" si="7"/>
        <v>0.94</v>
      </c>
      <c r="K105" s="8">
        <f t="shared" si="8"/>
        <v>-5.6</v>
      </c>
      <c r="L105" s="8">
        <f t="shared" si="9"/>
        <v>-4.5</v>
      </c>
      <c r="M105" s="8">
        <f t="shared" si="10"/>
        <v>-4.5</v>
      </c>
      <c r="N105" s="8">
        <f t="shared" si="11"/>
        <v>2.8571428571428572</v>
      </c>
      <c r="O105" s="8">
        <f>Table3[[#This Row],[N]]/($Y$100+$Y$95)</f>
        <v>1.1185682326621924</v>
      </c>
      <c r="P105" s="8">
        <f t="shared" si="12"/>
        <v>4.166666666666667</v>
      </c>
      <c r="Q105" s="8">
        <f t="shared" si="13"/>
        <v>2.8571428571428572</v>
      </c>
      <c r="R105" s="8">
        <f t="shared" si="14"/>
        <v>2.8571428571428572</v>
      </c>
    </row>
    <row r="106" spans="1:25" x14ac:dyDescent="0.2">
      <c r="A106" s="7">
        <v>11</v>
      </c>
      <c r="B106">
        <v>3.9949999999999999E-2</v>
      </c>
      <c r="C106">
        <v>0.15529999999999999</v>
      </c>
      <c r="D106">
        <v>0.15529999999999999</v>
      </c>
      <c r="E106">
        <v>1.169</v>
      </c>
      <c r="F106">
        <v>1.407</v>
      </c>
      <c r="G106">
        <v>0.37369999999999998</v>
      </c>
      <c r="H106">
        <v>0.63570000000000004</v>
      </c>
      <c r="I106">
        <v>0.63570000000000004</v>
      </c>
      <c r="J106">
        <f t="shared" si="7"/>
        <v>0.94</v>
      </c>
      <c r="K106" s="8">
        <f t="shared" si="8"/>
        <v>-5.36</v>
      </c>
      <c r="L106" s="8">
        <f t="shared" si="9"/>
        <v>-4.1500000000000004</v>
      </c>
      <c r="M106" s="8">
        <f t="shared" si="10"/>
        <v>-4.1500000000000004</v>
      </c>
      <c r="N106" s="8">
        <f t="shared" si="11"/>
        <v>2.8571428571428572</v>
      </c>
      <c r="O106" s="8">
        <f>Table3[[#This Row],[N]]/($Y$100+$Y$95)</f>
        <v>1.2304250559284118</v>
      </c>
      <c r="P106" s="8">
        <f t="shared" si="12"/>
        <v>4.166666666666667</v>
      </c>
      <c r="Q106" s="8">
        <f t="shared" si="13"/>
        <v>2.8571428571428572</v>
      </c>
      <c r="R106" s="8">
        <f t="shared" si="14"/>
        <v>2.8571428571428572</v>
      </c>
    </row>
    <row r="107" spans="1:25" x14ac:dyDescent="0.2">
      <c r="A107" s="7">
        <v>12</v>
      </c>
      <c r="B107">
        <v>4.1209999999999997E-2</v>
      </c>
      <c r="C107">
        <v>0.1636</v>
      </c>
      <c r="D107">
        <v>0.1636</v>
      </c>
      <c r="E107">
        <v>1.2669999999999999</v>
      </c>
      <c r="F107">
        <v>1.4750000000000001</v>
      </c>
      <c r="G107">
        <v>0.41760000000000003</v>
      </c>
      <c r="H107">
        <v>0.72509999999999997</v>
      </c>
      <c r="I107">
        <v>0.72509999999999997</v>
      </c>
      <c r="J107">
        <f t="shared" si="7"/>
        <v>0.94</v>
      </c>
      <c r="K107" s="8">
        <f t="shared" si="8"/>
        <v>-5.12</v>
      </c>
      <c r="L107" s="8">
        <f t="shared" si="9"/>
        <v>-3.8000000000000007</v>
      </c>
      <c r="M107" s="8">
        <f t="shared" si="10"/>
        <v>-3.8000000000000007</v>
      </c>
      <c r="N107" s="8">
        <f t="shared" si="11"/>
        <v>2.8571428571428572</v>
      </c>
      <c r="O107" s="8">
        <f>Table3[[#This Row],[N]]/($Y$100+$Y$95)</f>
        <v>1.3422818791946309</v>
      </c>
      <c r="P107" s="8">
        <f t="shared" si="12"/>
        <v>4.166666666666667</v>
      </c>
      <c r="Q107" s="8">
        <f t="shared" si="13"/>
        <v>2.8571428571428572</v>
      </c>
      <c r="R107" s="8">
        <f t="shared" si="14"/>
        <v>2.8571428571428572</v>
      </c>
    </row>
    <row r="108" spans="1:25" x14ac:dyDescent="0.2">
      <c r="A108" s="7">
        <v>13</v>
      </c>
      <c r="B108">
        <v>4.2529999999999998E-2</v>
      </c>
      <c r="C108">
        <v>0.17249999999999999</v>
      </c>
      <c r="D108">
        <v>0.17249999999999999</v>
      </c>
      <c r="E108">
        <v>1.3620000000000001</v>
      </c>
      <c r="F108">
        <v>1.548</v>
      </c>
      <c r="G108">
        <v>0.4632</v>
      </c>
      <c r="H108">
        <v>0.82210000000000005</v>
      </c>
      <c r="I108">
        <v>0.82210000000000005</v>
      </c>
      <c r="J108">
        <f t="shared" si="7"/>
        <v>0.94</v>
      </c>
      <c r="K108" s="8">
        <f t="shared" si="8"/>
        <v>-4.88</v>
      </c>
      <c r="L108" s="8">
        <f t="shared" si="9"/>
        <v>-3.45</v>
      </c>
      <c r="M108" s="8">
        <f t="shared" si="10"/>
        <v>-3.45</v>
      </c>
      <c r="N108" s="8">
        <f t="shared" si="11"/>
        <v>2.8571428571428572</v>
      </c>
      <c r="O108" s="8">
        <f>Table3[[#This Row],[N]]/($Y$100+$Y$95)</f>
        <v>1.4541387024608501</v>
      </c>
      <c r="P108" s="8">
        <f t="shared" si="12"/>
        <v>4.166666666666667</v>
      </c>
      <c r="Q108" s="8">
        <f t="shared" si="13"/>
        <v>2.8571428571428572</v>
      </c>
      <c r="R108" s="8">
        <f t="shared" si="14"/>
        <v>2.8571428571428572</v>
      </c>
    </row>
    <row r="109" spans="1:25" x14ac:dyDescent="0.2">
      <c r="A109" s="7">
        <v>14</v>
      </c>
      <c r="B109">
        <v>4.3900000000000002E-2</v>
      </c>
      <c r="C109">
        <v>0.1822</v>
      </c>
      <c r="D109">
        <v>0.1822</v>
      </c>
      <c r="E109">
        <v>1.454</v>
      </c>
      <c r="F109">
        <v>1.627</v>
      </c>
      <c r="G109">
        <v>0.51070000000000004</v>
      </c>
      <c r="H109">
        <v>0.92749999999999999</v>
      </c>
      <c r="I109">
        <v>0.92749999999999999</v>
      </c>
      <c r="J109">
        <f t="shared" si="7"/>
        <v>0.94</v>
      </c>
      <c r="K109" s="8">
        <f t="shared" si="8"/>
        <v>-4.6400000000000006</v>
      </c>
      <c r="L109" s="8">
        <f t="shared" si="9"/>
        <v>-3.1000000000000005</v>
      </c>
      <c r="M109" s="8">
        <f t="shared" si="10"/>
        <v>-3.1000000000000005</v>
      </c>
      <c r="N109" s="8">
        <f t="shared" si="11"/>
        <v>2.8571428571428572</v>
      </c>
      <c r="O109" s="8">
        <f>Table3[[#This Row],[N]]/($Y$100+$Y$95)</f>
        <v>1.5659955257270695</v>
      </c>
      <c r="P109" s="8">
        <f t="shared" si="12"/>
        <v>4.166666666666667</v>
      </c>
      <c r="Q109" s="8">
        <f t="shared" si="13"/>
        <v>2.8571428571428572</v>
      </c>
      <c r="R109" s="8">
        <f t="shared" si="14"/>
        <v>2.8571428571428572</v>
      </c>
    </row>
    <row r="110" spans="1:25" x14ac:dyDescent="0.2">
      <c r="A110" s="7">
        <v>15</v>
      </c>
      <c r="B110">
        <v>4.5319999999999999E-2</v>
      </c>
      <c r="C110">
        <v>0.19270000000000001</v>
      </c>
      <c r="D110">
        <v>0.19270000000000001</v>
      </c>
      <c r="E110">
        <v>1.5449999999999999</v>
      </c>
      <c r="F110">
        <v>1.712</v>
      </c>
      <c r="G110">
        <v>0.56000000000000005</v>
      </c>
      <c r="H110">
        <v>1.042</v>
      </c>
      <c r="I110">
        <v>1.042</v>
      </c>
      <c r="J110">
        <f t="shared" si="7"/>
        <v>0.94</v>
      </c>
      <c r="K110" s="8">
        <f t="shared" si="8"/>
        <v>-4.4000000000000004</v>
      </c>
      <c r="L110" s="8">
        <f t="shared" si="9"/>
        <v>-2.75</v>
      </c>
      <c r="M110" s="8">
        <f t="shared" si="10"/>
        <v>-2.75</v>
      </c>
      <c r="N110" s="8">
        <f t="shared" si="11"/>
        <v>2.8571428571428572</v>
      </c>
      <c r="O110" s="8">
        <f>Table3[[#This Row],[N]]/($Y$100+$Y$95)</f>
        <v>1.6778523489932886</v>
      </c>
      <c r="P110" s="8">
        <f t="shared" si="12"/>
        <v>4.166666666666667</v>
      </c>
      <c r="Q110" s="8">
        <f t="shared" si="13"/>
        <v>2.8571428571428572</v>
      </c>
      <c r="R110" s="8">
        <f t="shared" si="14"/>
        <v>2.8571428571428572</v>
      </c>
    </row>
    <row r="111" spans="1:25" x14ac:dyDescent="0.2">
      <c r="A111" s="7">
        <v>16</v>
      </c>
      <c r="B111">
        <v>4.6800000000000001E-2</v>
      </c>
      <c r="C111">
        <v>0.20419999999999999</v>
      </c>
      <c r="D111">
        <v>0.20419999999999999</v>
      </c>
      <c r="E111">
        <v>1.6319999999999999</v>
      </c>
      <c r="F111">
        <v>1.804</v>
      </c>
      <c r="G111">
        <v>0.61099999999999999</v>
      </c>
      <c r="H111">
        <v>1.1659999999999999</v>
      </c>
      <c r="I111">
        <v>1.1659999999999999</v>
      </c>
      <c r="J111">
        <f t="shared" si="7"/>
        <v>0.94</v>
      </c>
      <c r="K111" s="8">
        <f t="shared" si="8"/>
        <v>-4.16</v>
      </c>
      <c r="L111" s="8">
        <f t="shared" si="9"/>
        <v>-2.4000000000000004</v>
      </c>
      <c r="M111" s="8">
        <f t="shared" si="10"/>
        <v>-2.4000000000000004</v>
      </c>
      <c r="N111" s="8">
        <f t="shared" si="11"/>
        <v>2.8571428571428572</v>
      </c>
      <c r="O111" s="8">
        <f>Table3[[#This Row],[N]]/($Y$100+$Y$95)</f>
        <v>1.789709172259508</v>
      </c>
      <c r="P111" s="8">
        <f t="shared" si="12"/>
        <v>4.166666666666667</v>
      </c>
      <c r="Q111" s="8">
        <f t="shared" si="13"/>
        <v>2.8571428571428572</v>
      </c>
      <c r="R111" s="8">
        <f t="shared" si="14"/>
        <v>2.8571428571428572</v>
      </c>
    </row>
    <row r="112" spans="1:25" x14ac:dyDescent="0.2">
      <c r="A112" s="7">
        <v>17</v>
      </c>
      <c r="B112">
        <v>4.8329999999999998E-2</v>
      </c>
      <c r="C112">
        <v>0.21659999999999999</v>
      </c>
      <c r="D112">
        <v>0.21659999999999999</v>
      </c>
      <c r="E112">
        <v>1.7170000000000001</v>
      </c>
      <c r="F112">
        <v>1.903</v>
      </c>
      <c r="G112">
        <v>0.66369999999999996</v>
      </c>
      <c r="H112">
        <v>1.302</v>
      </c>
      <c r="I112">
        <v>1.302</v>
      </c>
      <c r="J112">
        <f t="shared" si="7"/>
        <v>0.94</v>
      </c>
      <c r="K112" s="8">
        <f t="shared" si="8"/>
        <v>-3.92</v>
      </c>
      <c r="L112" s="8">
        <f t="shared" si="9"/>
        <v>-2.0500000000000007</v>
      </c>
      <c r="M112" s="8">
        <f t="shared" si="10"/>
        <v>-2.0500000000000007</v>
      </c>
      <c r="N112" s="8">
        <f t="shared" si="11"/>
        <v>2.8571428571428572</v>
      </c>
      <c r="O112" s="8">
        <f>Table3[[#This Row],[N]]/($Y$100+$Y$95)</f>
        <v>1.9015659955257271</v>
      </c>
      <c r="P112" s="8">
        <f t="shared" si="12"/>
        <v>4.166666666666667</v>
      </c>
      <c r="Q112" s="8">
        <f t="shared" si="13"/>
        <v>2.8571428571428572</v>
      </c>
      <c r="R112" s="8">
        <f t="shared" si="14"/>
        <v>2.8571428571428572</v>
      </c>
    </row>
    <row r="113" spans="1:18" x14ac:dyDescent="0.2">
      <c r="A113" s="7">
        <v>18</v>
      </c>
      <c r="B113">
        <v>4.9910000000000003E-2</v>
      </c>
      <c r="C113">
        <v>0.23019999999999999</v>
      </c>
      <c r="D113">
        <v>0.23019999999999999</v>
      </c>
      <c r="E113">
        <v>1.798</v>
      </c>
      <c r="F113">
        <v>2.0099999999999998</v>
      </c>
      <c r="G113">
        <v>0.71799999999999997</v>
      </c>
      <c r="H113">
        <v>1.4490000000000001</v>
      </c>
      <c r="I113">
        <v>1.4490000000000001</v>
      </c>
      <c r="J113">
        <f t="shared" si="7"/>
        <v>0.94</v>
      </c>
      <c r="K113" s="8">
        <f t="shared" si="8"/>
        <v>-3.6799999999999997</v>
      </c>
      <c r="L113" s="8">
        <f t="shared" si="9"/>
        <v>-1.7000000000000002</v>
      </c>
      <c r="M113" s="8">
        <f t="shared" si="10"/>
        <v>-1.7000000000000002</v>
      </c>
      <c r="N113" s="8">
        <f t="shared" si="11"/>
        <v>2.8571428571428572</v>
      </c>
      <c r="O113" s="8">
        <f>Table3[[#This Row],[N]]/($Y$100+$Y$95)</f>
        <v>2.0134228187919465</v>
      </c>
      <c r="P113" s="8">
        <f t="shared" si="12"/>
        <v>4.166666666666667</v>
      </c>
      <c r="Q113" s="8">
        <f t="shared" si="13"/>
        <v>2.8571428571428572</v>
      </c>
      <c r="R113" s="8">
        <f t="shared" si="14"/>
        <v>2.8571428571428572</v>
      </c>
    </row>
    <row r="114" spans="1:18" x14ac:dyDescent="0.2">
      <c r="A114" s="7">
        <v>19</v>
      </c>
      <c r="B114">
        <v>5.1540000000000002E-2</v>
      </c>
      <c r="C114">
        <v>0.24490000000000001</v>
      </c>
      <c r="D114">
        <v>0.24490000000000001</v>
      </c>
      <c r="E114">
        <v>1.8759999999999999</v>
      </c>
      <c r="F114">
        <v>2.1259999999999999</v>
      </c>
      <c r="G114">
        <v>0.77359999999999995</v>
      </c>
      <c r="H114">
        <v>1.6080000000000001</v>
      </c>
      <c r="I114">
        <v>1.6080000000000001</v>
      </c>
      <c r="J114">
        <f t="shared" si="7"/>
        <v>0.94</v>
      </c>
      <c r="K114" s="8">
        <f t="shared" si="8"/>
        <v>-3.4400000000000004</v>
      </c>
      <c r="L114" s="8">
        <f t="shared" si="9"/>
        <v>-1.3500000000000005</v>
      </c>
      <c r="M114" s="8">
        <f t="shared" si="10"/>
        <v>-1.3500000000000005</v>
      </c>
      <c r="N114" s="8">
        <f t="shared" si="11"/>
        <v>2.8571428571428572</v>
      </c>
      <c r="O114" s="8">
        <f>Table3[[#This Row],[N]]/($Y$100+$Y$95)</f>
        <v>2.1252796420581657</v>
      </c>
      <c r="P114" s="8">
        <f t="shared" si="12"/>
        <v>4.166666666666667</v>
      </c>
      <c r="Q114" s="8">
        <f t="shared" si="13"/>
        <v>2.8571428571428572</v>
      </c>
      <c r="R114" s="8">
        <f t="shared" si="14"/>
        <v>2.8571428571428572</v>
      </c>
    </row>
    <row r="115" spans="1:18" x14ac:dyDescent="0.2">
      <c r="A115" s="7">
        <v>20</v>
      </c>
      <c r="B115">
        <v>5.321E-2</v>
      </c>
      <c r="C115">
        <v>0.26079999999999998</v>
      </c>
      <c r="D115">
        <v>0.26079999999999998</v>
      </c>
      <c r="E115">
        <v>1.9510000000000001</v>
      </c>
      <c r="F115">
        <v>2.2509999999999999</v>
      </c>
      <c r="G115">
        <v>0.83050000000000002</v>
      </c>
      <c r="H115">
        <v>1.7809999999999999</v>
      </c>
      <c r="I115">
        <v>1.7809999999999999</v>
      </c>
      <c r="J115">
        <f t="shared" si="7"/>
        <v>0.94</v>
      </c>
      <c r="K115" s="8">
        <f t="shared" si="8"/>
        <v>-3.2</v>
      </c>
      <c r="L115" s="8">
        <f t="shared" si="9"/>
        <v>-1</v>
      </c>
      <c r="M115" s="8">
        <f t="shared" si="10"/>
        <v>-1</v>
      </c>
      <c r="N115" s="8">
        <f t="shared" si="11"/>
        <v>2.8571428571428572</v>
      </c>
      <c r="O115" s="8">
        <f>Table3[[#This Row],[N]]/($Y$100+$Y$95)</f>
        <v>2.2371364653243848</v>
      </c>
      <c r="P115" s="8">
        <f t="shared" si="12"/>
        <v>4.166666666666667</v>
      </c>
      <c r="Q115" s="8">
        <f t="shared" si="13"/>
        <v>2.8571428571428572</v>
      </c>
      <c r="R115" s="8">
        <f t="shared" si="14"/>
        <v>2.8571428571428572</v>
      </c>
    </row>
    <row r="116" spans="1:18" x14ac:dyDescent="0.2">
      <c r="A116" s="7">
        <v>21</v>
      </c>
      <c r="B116">
        <v>5.491E-2</v>
      </c>
      <c r="C116">
        <v>0.27810000000000001</v>
      </c>
      <c r="D116">
        <v>0.27810000000000001</v>
      </c>
      <c r="E116">
        <v>2.0219999999999998</v>
      </c>
      <c r="F116">
        <v>2.3860000000000001</v>
      </c>
      <c r="G116">
        <v>0.88829999999999998</v>
      </c>
      <c r="H116">
        <v>1.968</v>
      </c>
      <c r="I116">
        <v>1.968</v>
      </c>
      <c r="J116">
        <f t="shared" si="7"/>
        <v>0.94</v>
      </c>
      <c r="K116" s="8">
        <f t="shared" si="8"/>
        <v>-2.96</v>
      </c>
      <c r="L116" s="8">
        <f t="shared" si="9"/>
        <v>-0.65000000000000036</v>
      </c>
      <c r="M116" s="8">
        <f t="shared" si="10"/>
        <v>-0.65000000000000036</v>
      </c>
      <c r="N116" s="8">
        <f t="shared" si="11"/>
        <v>2.8571428571428572</v>
      </c>
      <c r="O116" s="8">
        <f>Table3[[#This Row],[N]]/($Y$100+$Y$95)</f>
        <v>2.348993288590604</v>
      </c>
      <c r="P116" s="8">
        <f t="shared" si="12"/>
        <v>4.166666666666667</v>
      </c>
      <c r="Q116" s="8">
        <f t="shared" si="13"/>
        <v>2.8571428571428572</v>
      </c>
      <c r="R116" s="8">
        <f t="shared" si="14"/>
        <v>2.8571428571428572</v>
      </c>
    </row>
    <row r="117" spans="1:18" x14ac:dyDescent="0.2">
      <c r="A117" s="7">
        <v>22</v>
      </c>
      <c r="B117">
        <v>5.6649999999999999E-2</v>
      </c>
      <c r="C117">
        <v>0.29680000000000001</v>
      </c>
      <c r="D117">
        <v>0.29680000000000001</v>
      </c>
      <c r="E117">
        <v>2.089</v>
      </c>
      <c r="F117">
        <v>2.5310000000000001</v>
      </c>
      <c r="G117">
        <v>0.94679999999999997</v>
      </c>
      <c r="H117">
        <v>2.17</v>
      </c>
      <c r="I117">
        <v>2.17</v>
      </c>
      <c r="J117">
        <f t="shared" si="7"/>
        <v>0.94</v>
      </c>
      <c r="K117" s="8">
        <f t="shared" si="8"/>
        <v>-2.7200000000000006</v>
      </c>
      <c r="L117" s="8">
        <f t="shared" si="9"/>
        <v>-0.30000000000000071</v>
      </c>
      <c r="M117" s="8">
        <f t="shared" si="10"/>
        <v>-0.30000000000000071</v>
      </c>
      <c r="N117" s="8">
        <f t="shared" si="11"/>
        <v>2.8571428571428572</v>
      </c>
      <c r="O117" s="8">
        <f>Table3[[#This Row],[N]]/($Y$100+$Y$95)</f>
        <v>2.4608501118568236</v>
      </c>
      <c r="P117" s="8">
        <f t="shared" si="12"/>
        <v>4.166666666666667</v>
      </c>
      <c r="Q117" s="8">
        <f t="shared" si="13"/>
        <v>2.8571428571428572</v>
      </c>
      <c r="R117" s="8">
        <f t="shared" si="14"/>
        <v>2.8571428571428572</v>
      </c>
    </row>
    <row r="118" spans="1:18" x14ac:dyDescent="0.2">
      <c r="A118" s="7">
        <v>23</v>
      </c>
      <c r="B118">
        <v>5.8400000000000001E-2</v>
      </c>
      <c r="C118">
        <v>0.317</v>
      </c>
      <c r="D118">
        <v>0.317</v>
      </c>
      <c r="E118">
        <v>2.1520000000000001</v>
      </c>
      <c r="F118">
        <v>2.6859999999999999</v>
      </c>
      <c r="G118">
        <v>1.006</v>
      </c>
      <c r="H118">
        <v>2.3879999999999999</v>
      </c>
      <c r="I118">
        <v>2.3879999999999999</v>
      </c>
      <c r="J118">
        <f t="shared" si="7"/>
        <v>0.94</v>
      </c>
      <c r="K118" s="8">
        <f t="shared" si="8"/>
        <v>-2.4800000000000004</v>
      </c>
      <c r="L118" s="8">
        <f t="shared" si="9"/>
        <v>4.9999999999998934E-2</v>
      </c>
      <c r="M118" s="8">
        <f t="shared" si="10"/>
        <v>4.9999999999998934E-2</v>
      </c>
      <c r="N118" s="8">
        <f t="shared" si="11"/>
        <v>2.8571428571428572</v>
      </c>
      <c r="O118" s="8">
        <f>Table3[[#This Row],[N]]/($Y$100+$Y$95)</f>
        <v>2.5727069351230427</v>
      </c>
      <c r="P118" s="8">
        <f t="shared" si="12"/>
        <v>4.166666666666667</v>
      </c>
      <c r="Q118" s="8">
        <f t="shared" si="13"/>
        <v>2.8571428571428572</v>
      </c>
      <c r="R118" s="8">
        <f t="shared" si="14"/>
        <v>2.8571428571428572</v>
      </c>
    </row>
    <row r="119" spans="1:18" x14ac:dyDescent="0.2">
      <c r="A119" s="7">
        <v>24</v>
      </c>
      <c r="B119">
        <v>6.0170000000000001E-2</v>
      </c>
      <c r="C119">
        <v>0.33879999999999999</v>
      </c>
      <c r="D119">
        <v>0.33879999999999999</v>
      </c>
      <c r="E119">
        <v>2.2109999999999999</v>
      </c>
      <c r="F119">
        <v>2.8530000000000002</v>
      </c>
      <c r="G119">
        <v>1.0640000000000001</v>
      </c>
      <c r="H119">
        <v>2.6219999999999999</v>
      </c>
      <c r="I119">
        <v>2.6219999999999999</v>
      </c>
      <c r="J119">
        <f t="shared" si="7"/>
        <v>0.94</v>
      </c>
      <c r="K119" s="8">
        <f t="shared" si="8"/>
        <v>-2.2400000000000002</v>
      </c>
      <c r="L119" s="8">
        <f t="shared" si="9"/>
        <v>0.39999999999999858</v>
      </c>
      <c r="M119" s="8">
        <f t="shared" si="10"/>
        <v>0.39999999999999858</v>
      </c>
      <c r="N119" s="8">
        <f t="shared" si="11"/>
        <v>2.8571428571428572</v>
      </c>
      <c r="O119" s="8">
        <f>Table3[[#This Row],[N]]/($Y$100+$Y$95)</f>
        <v>2.6845637583892619</v>
      </c>
      <c r="P119" s="8">
        <f t="shared" si="12"/>
        <v>4.166666666666667</v>
      </c>
      <c r="Q119" s="8">
        <f t="shared" si="13"/>
        <v>2.8571428571428572</v>
      </c>
      <c r="R119" s="8">
        <f t="shared" si="14"/>
        <v>2.8571428571428572</v>
      </c>
    </row>
    <row r="120" spans="1:18" x14ac:dyDescent="0.2">
      <c r="A120" s="7">
        <v>25</v>
      </c>
      <c r="B120">
        <v>6.1929999999999999E-2</v>
      </c>
      <c r="C120">
        <v>0.36220000000000002</v>
      </c>
      <c r="D120">
        <v>0.36220000000000002</v>
      </c>
      <c r="E120">
        <v>2.266</v>
      </c>
      <c r="F120">
        <v>3.0310000000000001</v>
      </c>
      <c r="G120">
        <v>1.123</v>
      </c>
      <c r="H120">
        <v>2.8730000000000002</v>
      </c>
      <c r="I120">
        <v>2.8730000000000002</v>
      </c>
      <c r="J120">
        <f t="shared" si="7"/>
        <v>0.94</v>
      </c>
      <c r="K120" s="8">
        <f t="shared" si="8"/>
        <v>-2</v>
      </c>
      <c r="L120" s="8">
        <f t="shared" si="9"/>
        <v>0.75</v>
      </c>
      <c r="M120" s="8">
        <f t="shared" si="10"/>
        <v>0.75</v>
      </c>
      <c r="N120" s="8">
        <f t="shared" si="11"/>
        <v>2.8571428571428572</v>
      </c>
      <c r="O120" s="8">
        <f>Table3[[#This Row],[N]]/($Y$100+$Y$95)</f>
        <v>2.796420581655481</v>
      </c>
      <c r="P120" s="8">
        <f t="shared" si="12"/>
        <v>4.166666666666667</v>
      </c>
      <c r="Q120" s="8">
        <f t="shared" si="13"/>
        <v>2.8571428571428572</v>
      </c>
      <c r="R120" s="8">
        <f t="shared" si="14"/>
        <v>2.8571428571428572</v>
      </c>
    </row>
    <row r="121" spans="1:18" x14ac:dyDescent="0.2">
      <c r="A121" s="7">
        <v>26</v>
      </c>
      <c r="B121">
        <v>6.3689999999999997E-2</v>
      </c>
      <c r="C121">
        <v>0.38729999999999998</v>
      </c>
      <c r="D121">
        <v>0.38729999999999998</v>
      </c>
      <c r="E121">
        <v>2.3170000000000002</v>
      </c>
      <c r="F121">
        <v>3.2210000000000001</v>
      </c>
      <c r="G121">
        <v>1.181</v>
      </c>
      <c r="H121">
        <v>3.141</v>
      </c>
      <c r="I121">
        <v>3.141</v>
      </c>
      <c r="J121">
        <f t="shared" si="7"/>
        <v>0.94</v>
      </c>
      <c r="K121" s="8">
        <f t="shared" si="8"/>
        <v>-1.7599999999999998</v>
      </c>
      <c r="L121" s="8">
        <f t="shared" si="9"/>
        <v>1.0999999999999996</v>
      </c>
      <c r="M121" s="8">
        <f t="shared" si="10"/>
        <v>1.0999999999999996</v>
      </c>
      <c r="N121" s="8">
        <f t="shared" si="11"/>
        <v>2.8571428571428572</v>
      </c>
      <c r="O121" s="8">
        <f>Table3[[#This Row],[N]]/($Y$100+$Y$95)</f>
        <v>2.9082774049217002</v>
      </c>
      <c r="P121" s="8">
        <f t="shared" si="12"/>
        <v>4.166666666666667</v>
      </c>
      <c r="Q121" s="8">
        <f t="shared" si="13"/>
        <v>2.8571428571428572</v>
      </c>
      <c r="R121" s="8">
        <f t="shared" si="14"/>
        <v>2.8571428571428572</v>
      </c>
    </row>
    <row r="122" spans="1:18" x14ac:dyDescent="0.2">
      <c r="A122" s="7">
        <v>27</v>
      </c>
      <c r="B122">
        <v>6.5420000000000006E-2</v>
      </c>
      <c r="C122">
        <v>0.41410000000000002</v>
      </c>
      <c r="D122">
        <v>0.41410000000000002</v>
      </c>
      <c r="E122">
        <v>2.3639999999999999</v>
      </c>
      <c r="F122">
        <v>3.4220000000000002</v>
      </c>
      <c r="G122">
        <v>1.2370000000000001</v>
      </c>
      <c r="H122">
        <v>3.4260000000000002</v>
      </c>
      <c r="I122">
        <v>3.4260000000000002</v>
      </c>
      <c r="J122">
        <f t="shared" si="7"/>
        <v>0.94</v>
      </c>
      <c r="K122" s="8">
        <f t="shared" si="8"/>
        <v>-1.5200000000000005</v>
      </c>
      <c r="L122" s="8">
        <f t="shared" si="9"/>
        <v>1.4499999999999993</v>
      </c>
      <c r="M122" s="8">
        <f t="shared" si="10"/>
        <v>1.4499999999999993</v>
      </c>
      <c r="N122" s="8">
        <f t="shared" si="11"/>
        <v>2.8571428571428572</v>
      </c>
      <c r="O122" s="8">
        <f>Table3[[#This Row],[N]]/($Y$100+$Y$95)</f>
        <v>3.0201342281879198</v>
      </c>
      <c r="P122" s="8">
        <f t="shared" si="12"/>
        <v>4.166666666666667</v>
      </c>
      <c r="Q122" s="8">
        <f t="shared" si="13"/>
        <v>2.8571428571428572</v>
      </c>
      <c r="R122" s="8">
        <f t="shared" si="14"/>
        <v>2.8571428571428572</v>
      </c>
    </row>
    <row r="123" spans="1:18" x14ac:dyDescent="0.2">
      <c r="A123" s="7">
        <v>28</v>
      </c>
      <c r="B123">
        <v>6.7110000000000003E-2</v>
      </c>
      <c r="C123">
        <v>0.44259999999999999</v>
      </c>
      <c r="D123">
        <v>0.44259999999999999</v>
      </c>
      <c r="E123">
        <v>2.4060000000000001</v>
      </c>
      <c r="F123">
        <v>3.6349999999999998</v>
      </c>
      <c r="G123">
        <v>1.292</v>
      </c>
      <c r="H123">
        <v>3.7280000000000002</v>
      </c>
      <c r="I123">
        <v>3.7280000000000002</v>
      </c>
      <c r="J123">
        <f t="shared" si="7"/>
        <v>0.94</v>
      </c>
      <c r="K123" s="8">
        <f t="shared" si="8"/>
        <v>-1.2800000000000002</v>
      </c>
      <c r="L123" s="8">
        <f t="shared" si="9"/>
        <v>1.7999999999999989</v>
      </c>
      <c r="M123" s="8">
        <f t="shared" si="10"/>
        <v>1.7999999999999989</v>
      </c>
      <c r="N123" s="8">
        <f t="shared" si="11"/>
        <v>2.8571428571428572</v>
      </c>
      <c r="O123" s="8">
        <f>Table3[[#This Row],[N]]/($Y$100+$Y$95)</f>
        <v>3.1319910514541389</v>
      </c>
      <c r="P123" s="8">
        <f t="shared" si="12"/>
        <v>4.166666666666667</v>
      </c>
      <c r="Q123" s="8">
        <f t="shared" si="13"/>
        <v>2.8571428571428572</v>
      </c>
      <c r="R123" s="8">
        <f t="shared" si="14"/>
        <v>2.8571428571428572</v>
      </c>
    </row>
    <row r="124" spans="1:18" x14ac:dyDescent="0.2">
      <c r="A124" s="7">
        <v>29</v>
      </c>
      <c r="B124">
        <v>6.8760000000000002E-2</v>
      </c>
      <c r="C124">
        <v>0.4728</v>
      </c>
      <c r="D124">
        <v>0.4728</v>
      </c>
      <c r="E124">
        <v>2.4449999999999998</v>
      </c>
      <c r="F124">
        <v>3.86</v>
      </c>
      <c r="G124">
        <v>1.345</v>
      </c>
      <c r="H124">
        <v>4.0460000000000003</v>
      </c>
      <c r="I124">
        <v>4.0460000000000003</v>
      </c>
      <c r="J124">
        <f t="shared" si="7"/>
        <v>0.94</v>
      </c>
      <c r="K124" s="8">
        <f t="shared" si="8"/>
        <v>-1.04</v>
      </c>
      <c r="L124" s="8">
        <f t="shared" si="9"/>
        <v>2.1499999999999986</v>
      </c>
      <c r="M124" s="8">
        <f t="shared" si="10"/>
        <v>2.1499999999999986</v>
      </c>
      <c r="N124" s="8">
        <f t="shared" si="11"/>
        <v>2.8571428571428572</v>
      </c>
      <c r="O124" s="8">
        <f>Table3[[#This Row],[N]]/($Y$100+$Y$95)</f>
        <v>3.2438478747203581</v>
      </c>
      <c r="P124" s="8">
        <f t="shared" si="12"/>
        <v>4.166666666666667</v>
      </c>
      <c r="Q124" s="8">
        <f t="shared" si="13"/>
        <v>2.8571428571428572</v>
      </c>
      <c r="R124" s="8">
        <f t="shared" si="14"/>
        <v>2.8571428571428572</v>
      </c>
    </row>
    <row r="125" spans="1:18" x14ac:dyDescent="0.2">
      <c r="A125" s="7">
        <v>30</v>
      </c>
      <c r="B125">
        <v>7.0349999999999996E-2</v>
      </c>
      <c r="C125">
        <v>0.50460000000000005</v>
      </c>
      <c r="D125">
        <v>0.50460000000000005</v>
      </c>
      <c r="E125">
        <v>2.48</v>
      </c>
      <c r="F125">
        <v>4.0949999999999998</v>
      </c>
      <c r="G125">
        <v>1.3959999999999999</v>
      </c>
      <c r="H125">
        <v>4.3810000000000002</v>
      </c>
      <c r="I125">
        <v>4.3810000000000002</v>
      </c>
      <c r="J125">
        <f t="shared" si="7"/>
        <v>0.94</v>
      </c>
      <c r="K125" s="8">
        <f t="shared" si="8"/>
        <v>-0.80000000000000071</v>
      </c>
      <c r="L125" s="8">
        <f t="shared" si="9"/>
        <v>2.5</v>
      </c>
      <c r="M125" s="8">
        <f t="shared" si="10"/>
        <v>2.5</v>
      </c>
      <c r="N125" s="8">
        <f t="shared" si="11"/>
        <v>2.8571428571428572</v>
      </c>
      <c r="O125" s="8">
        <f>Table3[[#This Row],[N]]/($Y$100+$Y$95)</f>
        <v>3.3557046979865772</v>
      </c>
      <c r="P125" s="8">
        <f t="shared" si="12"/>
        <v>4.166666666666667</v>
      </c>
      <c r="Q125" s="8">
        <f t="shared" si="13"/>
        <v>2.8571428571428572</v>
      </c>
      <c r="R125" s="8">
        <f t="shared" si="14"/>
        <v>2.8571428571428572</v>
      </c>
    </row>
    <row r="126" spans="1:18" x14ac:dyDescent="0.2">
      <c r="A126">
        <v>31</v>
      </c>
      <c r="B126">
        <v>7.1879999999999999E-2</v>
      </c>
      <c r="C126">
        <v>0.53810000000000002</v>
      </c>
      <c r="D126">
        <v>0.53810000000000002</v>
      </c>
      <c r="E126">
        <v>2.512</v>
      </c>
      <c r="F126">
        <v>4.3419999999999996</v>
      </c>
      <c r="G126">
        <v>1.444</v>
      </c>
      <c r="H126">
        <v>4.7300000000000004</v>
      </c>
      <c r="I126">
        <v>4.7300000000000004</v>
      </c>
      <c r="J126">
        <f t="shared" si="7"/>
        <v>0.94</v>
      </c>
      <c r="K126" s="8">
        <f t="shared" si="8"/>
        <v>-0.5600000000000005</v>
      </c>
      <c r="L126" s="8">
        <f t="shared" si="9"/>
        <v>2.8499999999999996</v>
      </c>
      <c r="M126" s="8">
        <f t="shared" si="10"/>
        <v>2.8499999999999996</v>
      </c>
      <c r="N126" s="8">
        <f t="shared" si="11"/>
        <v>2.8571428571428572</v>
      </c>
      <c r="O126" s="8">
        <f>Table3[[#This Row],[N]]/($Y$100+$Y$95)</f>
        <v>3.4675615212527968</v>
      </c>
      <c r="P126" s="8">
        <f t="shared" si="12"/>
        <v>4.166666666666667</v>
      </c>
      <c r="Q126" s="8">
        <f t="shared" si="13"/>
        <v>2.8571428571428572</v>
      </c>
      <c r="R126" s="8">
        <f t="shared" si="14"/>
        <v>2.8571428571428572</v>
      </c>
    </row>
    <row r="127" spans="1:18" x14ac:dyDescent="0.2">
      <c r="A127">
        <v>32</v>
      </c>
      <c r="B127">
        <v>7.3330000000000006E-2</v>
      </c>
      <c r="C127">
        <v>0.57299999999999995</v>
      </c>
      <c r="D127">
        <v>0.57299999999999995</v>
      </c>
      <c r="E127">
        <v>2.54</v>
      </c>
      <c r="F127">
        <v>4.5979999999999999</v>
      </c>
      <c r="G127">
        <v>1.49</v>
      </c>
      <c r="H127" s="2">
        <v>5.0949999999999998</v>
      </c>
      <c r="I127">
        <v>5.0949999999999998</v>
      </c>
      <c r="J127">
        <f t="shared" si="7"/>
        <v>0.94</v>
      </c>
      <c r="K127" s="8">
        <f t="shared" si="8"/>
        <v>-0.32000000000000028</v>
      </c>
      <c r="L127" s="8">
        <f t="shared" si="9"/>
        <v>3.1999999999999993</v>
      </c>
      <c r="M127" s="8">
        <f t="shared" si="10"/>
        <v>3.1999999999999993</v>
      </c>
      <c r="N127" s="8">
        <f t="shared" si="11"/>
        <v>2.8571428571428572</v>
      </c>
      <c r="O127" s="8">
        <f>Table3[[#This Row],[N]]/($Y$100+$Y$95)</f>
        <v>3.579418344519016</v>
      </c>
      <c r="P127" s="8">
        <f t="shared" si="12"/>
        <v>4.166666666666667</v>
      </c>
      <c r="Q127" s="8">
        <f t="shared" si="13"/>
        <v>2.8571428571428572</v>
      </c>
      <c r="R127" s="8">
        <f t="shared" si="14"/>
        <v>2.8571428571428572</v>
      </c>
    </row>
    <row r="128" spans="1:18" x14ac:dyDescent="0.2">
      <c r="A128">
        <v>33</v>
      </c>
      <c r="B128">
        <v>7.4700000000000003E-2</v>
      </c>
      <c r="C128">
        <v>0.60950000000000004</v>
      </c>
      <c r="D128">
        <v>0.60950000000000004</v>
      </c>
      <c r="E128">
        <v>2.5649999999999999</v>
      </c>
      <c r="F128">
        <v>4.8639999999999999</v>
      </c>
      <c r="G128">
        <v>1.5329999999999999</v>
      </c>
      <c r="H128" s="7">
        <v>5.4720000000000004</v>
      </c>
      <c r="I128">
        <v>5.4720000000000004</v>
      </c>
      <c r="J128">
        <f t="shared" ref="J128:J145" si="15">$Y$100</f>
        <v>0.94</v>
      </c>
      <c r="K128" s="8">
        <f t="shared" ref="K128:K145" si="16">$Y$96*$A128-$Y$95</f>
        <v>-8.0000000000000071E-2</v>
      </c>
      <c r="L128" s="8">
        <f t="shared" ref="L128:L145" si="17">$Y$97*$A128-$Y$95</f>
        <v>3.5499999999999989</v>
      </c>
      <c r="M128" s="8">
        <f t="shared" ref="M128:M145" si="18">$Y$98*$A128-$Y$95</f>
        <v>3.5499999999999989</v>
      </c>
      <c r="N128" s="8">
        <f t="shared" ref="N128:N145" si="19">1/$Y$99</f>
        <v>2.8571428571428572</v>
      </c>
      <c r="O128" s="8">
        <f>Table3[[#This Row],[N]]/($Y$100+$Y$95)</f>
        <v>3.6912751677852351</v>
      </c>
      <c r="P128" s="8">
        <f t="shared" ref="P128:P145" si="20">1/$Y$96</f>
        <v>4.166666666666667</v>
      </c>
      <c r="Q128" s="8">
        <f t="shared" ref="Q128:Q145" si="21">1/$Y$97</f>
        <v>2.8571428571428572</v>
      </c>
      <c r="R128" s="8">
        <f t="shared" ref="R128:R145" si="22">1/$Y$98</f>
        <v>2.8571428571428572</v>
      </c>
    </row>
    <row r="129" spans="1:18" x14ac:dyDescent="0.2">
      <c r="A129">
        <v>34</v>
      </c>
      <c r="B129">
        <v>7.5990000000000002E-2</v>
      </c>
      <c r="C129">
        <v>0.6472</v>
      </c>
      <c r="D129">
        <v>0.6472</v>
      </c>
      <c r="E129">
        <v>2.5880000000000001</v>
      </c>
      <c r="F129">
        <v>5.1379999999999999</v>
      </c>
      <c r="G129">
        <v>1.573</v>
      </c>
      <c r="H129" s="7">
        <v>5.8620000000000001</v>
      </c>
      <c r="I129">
        <v>5.8620000000000001</v>
      </c>
      <c r="J129">
        <f t="shared" si="15"/>
        <v>0.94</v>
      </c>
      <c r="K129" s="8">
        <f t="shared" si="16"/>
        <v>0.16000000000000014</v>
      </c>
      <c r="L129" s="8">
        <f t="shared" si="17"/>
        <v>3.8999999999999986</v>
      </c>
      <c r="M129" s="8">
        <f t="shared" si="18"/>
        <v>3.8999999999999986</v>
      </c>
      <c r="N129" s="8">
        <f t="shared" si="19"/>
        <v>2.8571428571428572</v>
      </c>
      <c r="O129" s="8">
        <f>Table3[[#This Row],[N]]/($Y$100+$Y$95)</f>
        <v>3.8031319910514543</v>
      </c>
      <c r="P129" s="8">
        <f t="shared" si="20"/>
        <v>4.166666666666667</v>
      </c>
      <c r="Q129" s="8">
        <f t="shared" si="21"/>
        <v>2.8571428571428572</v>
      </c>
      <c r="R129" s="8">
        <f t="shared" si="22"/>
        <v>2.8571428571428572</v>
      </c>
    </row>
    <row r="130" spans="1:18" x14ac:dyDescent="0.2">
      <c r="A130">
        <v>35</v>
      </c>
      <c r="B130">
        <v>7.7200000000000005E-2</v>
      </c>
      <c r="C130">
        <v>0.68620000000000003</v>
      </c>
      <c r="D130">
        <v>0.68620000000000003</v>
      </c>
      <c r="E130">
        <v>2.6080000000000001</v>
      </c>
      <c r="F130">
        <v>5.4210000000000003</v>
      </c>
      <c r="G130">
        <v>1.611</v>
      </c>
      <c r="H130" s="7">
        <v>6.2629999999999999</v>
      </c>
      <c r="I130">
        <v>6.2629999999999999</v>
      </c>
      <c r="J130">
        <f t="shared" si="15"/>
        <v>0.94</v>
      </c>
      <c r="K130" s="8">
        <f t="shared" si="16"/>
        <v>0.40000000000000036</v>
      </c>
      <c r="L130" s="8">
        <f t="shared" si="17"/>
        <v>4.25</v>
      </c>
      <c r="M130" s="8">
        <f t="shared" si="18"/>
        <v>4.25</v>
      </c>
      <c r="N130" s="8">
        <f t="shared" si="19"/>
        <v>2.8571428571428572</v>
      </c>
      <c r="O130" s="8">
        <f>Table3[[#This Row],[N]]/($Y$100+$Y$95)</f>
        <v>3.9149888143176734</v>
      </c>
      <c r="P130" s="8">
        <f t="shared" si="20"/>
        <v>4.166666666666667</v>
      </c>
      <c r="Q130" s="8">
        <f t="shared" si="21"/>
        <v>2.8571428571428572</v>
      </c>
      <c r="R130" s="8">
        <f t="shared" si="22"/>
        <v>2.8571428571428572</v>
      </c>
    </row>
    <row r="131" spans="1:18" x14ac:dyDescent="0.2">
      <c r="A131">
        <v>36</v>
      </c>
      <c r="B131">
        <v>7.8320000000000001E-2</v>
      </c>
      <c r="C131">
        <v>0.72629999999999995</v>
      </c>
      <c r="D131">
        <v>0.72629999999999995</v>
      </c>
      <c r="E131">
        <v>2.6259999999999999</v>
      </c>
      <c r="F131">
        <v>5.7110000000000003</v>
      </c>
      <c r="G131">
        <v>1.645</v>
      </c>
      <c r="H131" s="7">
        <v>6.6749999999999998</v>
      </c>
      <c r="I131">
        <v>6.6749999999999998</v>
      </c>
      <c r="J131">
        <f t="shared" si="15"/>
        <v>0.94</v>
      </c>
      <c r="K131" s="8">
        <f t="shared" si="16"/>
        <v>0.64000000000000057</v>
      </c>
      <c r="L131" s="8">
        <f t="shared" si="17"/>
        <v>4.5999999999999996</v>
      </c>
      <c r="M131" s="8">
        <f t="shared" si="18"/>
        <v>4.5999999999999996</v>
      </c>
      <c r="N131" s="8">
        <f t="shared" si="19"/>
        <v>2.8571428571428572</v>
      </c>
      <c r="O131" s="8">
        <f>Table3[[#This Row],[N]]/($Y$100+$Y$95)</f>
        <v>4.026845637583893</v>
      </c>
      <c r="P131" s="8">
        <f t="shared" si="20"/>
        <v>4.166666666666667</v>
      </c>
      <c r="Q131" s="8">
        <f t="shared" si="21"/>
        <v>2.8571428571428572</v>
      </c>
      <c r="R131" s="8">
        <f t="shared" si="22"/>
        <v>2.8571428571428572</v>
      </c>
    </row>
    <row r="132" spans="1:18" x14ac:dyDescent="0.2">
      <c r="A132">
        <v>37</v>
      </c>
      <c r="B132">
        <v>7.9350000000000004E-2</v>
      </c>
      <c r="C132">
        <v>0.76749999999999996</v>
      </c>
      <c r="D132">
        <v>0.76749999999999996</v>
      </c>
      <c r="E132">
        <v>2.641</v>
      </c>
      <c r="F132">
        <v>6.0069999999999997</v>
      </c>
      <c r="G132">
        <v>1.677</v>
      </c>
      <c r="H132" s="7">
        <v>7.0960000000000001</v>
      </c>
      <c r="I132">
        <v>7.0960000000000001</v>
      </c>
      <c r="J132">
        <f t="shared" si="15"/>
        <v>0.94</v>
      </c>
      <c r="K132" s="8">
        <f t="shared" si="16"/>
        <v>0.87999999999999901</v>
      </c>
      <c r="L132" s="8">
        <f t="shared" si="17"/>
        <v>4.9499999999999993</v>
      </c>
      <c r="M132" s="8">
        <f t="shared" si="18"/>
        <v>4.9499999999999993</v>
      </c>
      <c r="N132" s="8">
        <f t="shared" si="19"/>
        <v>2.8571428571428572</v>
      </c>
      <c r="O132" s="8">
        <f>Table3[[#This Row],[N]]/($Y$100+$Y$95)</f>
        <v>4.1387024608501122</v>
      </c>
      <c r="P132" s="8">
        <f t="shared" si="20"/>
        <v>4.166666666666667</v>
      </c>
      <c r="Q132" s="8">
        <f t="shared" si="21"/>
        <v>2.8571428571428572</v>
      </c>
      <c r="R132" s="8">
        <f t="shared" si="22"/>
        <v>2.8571428571428572</v>
      </c>
    </row>
    <row r="133" spans="1:18" x14ac:dyDescent="0.2">
      <c r="A133">
        <v>38</v>
      </c>
      <c r="B133">
        <v>8.0310000000000006E-2</v>
      </c>
      <c r="C133">
        <v>0.80959999999999999</v>
      </c>
      <c r="D133">
        <v>0.80959999999999999</v>
      </c>
      <c r="E133">
        <v>2.6560000000000001</v>
      </c>
      <c r="F133">
        <v>6.3090000000000002</v>
      </c>
      <c r="G133">
        <v>1.706</v>
      </c>
      <c r="H133" s="7">
        <v>7.5250000000000004</v>
      </c>
      <c r="I133">
        <v>7.5250000000000004</v>
      </c>
      <c r="J133">
        <f t="shared" si="15"/>
        <v>0.94</v>
      </c>
      <c r="K133" s="8">
        <f t="shared" si="16"/>
        <v>1.1199999999999992</v>
      </c>
      <c r="L133" s="8">
        <f t="shared" si="17"/>
        <v>5.2999999999999989</v>
      </c>
      <c r="M133" s="8">
        <f t="shared" si="18"/>
        <v>5.2999999999999989</v>
      </c>
      <c r="N133" s="8">
        <f t="shared" si="19"/>
        <v>2.8571428571428572</v>
      </c>
      <c r="O133" s="8">
        <f>Table3[[#This Row],[N]]/($Y$100+$Y$95)</f>
        <v>4.2505592841163313</v>
      </c>
      <c r="P133" s="8">
        <f t="shared" si="20"/>
        <v>4.166666666666667</v>
      </c>
      <c r="Q133" s="8">
        <f t="shared" si="21"/>
        <v>2.8571428571428572</v>
      </c>
      <c r="R133" s="8">
        <f t="shared" si="22"/>
        <v>2.8571428571428572</v>
      </c>
    </row>
    <row r="134" spans="1:18" x14ac:dyDescent="0.2">
      <c r="A134">
        <v>39</v>
      </c>
      <c r="B134">
        <v>8.1180000000000002E-2</v>
      </c>
      <c r="C134">
        <v>0.85250000000000004</v>
      </c>
      <c r="D134">
        <v>0.85250000000000004</v>
      </c>
      <c r="E134">
        <v>2.6680000000000001</v>
      </c>
      <c r="F134">
        <v>6.617</v>
      </c>
      <c r="G134">
        <v>1.7330000000000001</v>
      </c>
      <c r="H134" s="7">
        <v>7.9610000000000003</v>
      </c>
      <c r="I134">
        <v>7.9610000000000003</v>
      </c>
      <c r="J134">
        <f t="shared" si="15"/>
        <v>0.94</v>
      </c>
      <c r="K134" s="8">
        <f t="shared" si="16"/>
        <v>1.3599999999999994</v>
      </c>
      <c r="L134" s="8">
        <f t="shared" si="17"/>
        <v>5.6499999999999986</v>
      </c>
      <c r="M134" s="8">
        <f t="shared" si="18"/>
        <v>5.6499999999999986</v>
      </c>
      <c r="N134" s="8">
        <f t="shared" si="19"/>
        <v>2.8571428571428572</v>
      </c>
      <c r="O134" s="8">
        <f>Table3[[#This Row],[N]]/($Y$100+$Y$95)</f>
        <v>4.3624161073825505</v>
      </c>
      <c r="P134" s="8">
        <f t="shared" si="20"/>
        <v>4.166666666666667</v>
      </c>
      <c r="Q134" s="8">
        <f t="shared" si="21"/>
        <v>2.8571428571428572</v>
      </c>
      <c r="R134" s="8">
        <f t="shared" si="22"/>
        <v>2.8571428571428572</v>
      </c>
    </row>
    <row r="135" spans="1:18" x14ac:dyDescent="0.2">
      <c r="A135">
        <v>40</v>
      </c>
      <c r="B135">
        <v>8.1989999999999993E-2</v>
      </c>
      <c r="C135">
        <v>0.89610000000000001</v>
      </c>
      <c r="D135">
        <v>0.89610000000000001</v>
      </c>
      <c r="E135">
        <v>2.6789999999999998</v>
      </c>
      <c r="F135">
        <v>6.9279999999999999</v>
      </c>
      <c r="G135">
        <v>1.7569999999999999</v>
      </c>
      <c r="H135" s="7">
        <v>8.4030000000000005</v>
      </c>
      <c r="I135">
        <v>8.4030000000000005</v>
      </c>
      <c r="J135">
        <f t="shared" si="15"/>
        <v>0.94</v>
      </c>
      <c r="K135" s="8">
        <f t="shared" si="16"/>
        <v>1.5999999999999996</v>
      </c>
      <c r="L135" s="8">
        <f t="shared" si="17"/>
        <v>6</v>
      </c>
      <c r="M135" s="8">
        <f t="shared" si="18"/>
        <v>6</v>
      </c>
      <c r="N135" s="8">
        <f t="shared" si="19"/>
        <v>2.8571428571428572</v>
      </c>
      <c r="O135" s="8">
        <f>Table3[[#This Row],[N]]/($Y$100+$Y$95)</f>
        <v>4.4742729306487696</v>
      </c>
      <c r="P135" s="8">
        <f t="shared" si="20"/>
        <v>4.166666666666667</v>
      </c>
      <c r="Q135" s="8">
        <f t="shared" si="21"/>
        <v>2.8571428571428572</v>
      </c>
      <c r="R135" s="8">
        <f t="shared" si="22"/>
        <v>2.8571428571428572</v>
      </c>
    </row>
    <row r="136" spans="1:18" x14ac:dyDescent="0.2">
      <c r="A136">
        <v>41</v>
      </c>
      <c r="B136">
        <v>8.2720000000000002E-2</v>
      </c>
      <c r="C136">
        <v>0.94030000000000002</v>
      </c>
      <c r="D136">
        <v>0.94030000000000002</v>
      </c>
      <c r="E136">
        <v>2.69</v>
      </c>
      <c r="F136">
        <v>7.2439999999999998</v>
      </c>
      <c r="G136">
        <v>1.78</v>
      </c>
      <c r="H136" s="7">
        <v>8.8520000000000003</v>
      </c>
      <c r="I136">
        <v>8.8520000000000003</v>
      </c>
      <c r="J136">
        <f t="shared" si="15"/>
        <v>0.94</v>
      </c>
      <c r="K136" s="8">
        <f t="shared" si="16"/>
        <v>1.8399999999999999</v>
      </c>
      <c r="L136" s="8">
        <f t="shared" si="17"/>
        <v>6.35</v>
      </c>
      <c r="M136" s="8">
        <f t="shared" si="18"/>
        <v>6.35</v>
      </c>
      <c r="N136" s="8">
        <f t="shared" si="19"/>
        <v>2.8571428571428572</v>
      </c>
      <c r="O136" s="8">
        <f>Table3[[#This Row],[N]]/($Y$100+$Y$95)</f>
        <v>4.5861297539149888</v>
      </c>
      <c r="P136" s="8">
        <f t="shared" si="20"/>
        <v>4.166666666666667</v>
      </c>
      <c r="Q136" s="8">
        <f t="shared" si="21"/>
        <v>2.8571428571428572</v>
      </c>
      <c r="R136" s="8">
        <f t="shared" si="22"/>
        <v>2.8571428571428572</v>
      </c>
    </row>
    <row r="137" spans="1:18" x14ac:dyDescent="0.2">
      <c r="A137">
        <v>42</v>
      </c>
      <c r="B137">
        <v>8.3400000000000002E-2</v>
      </c>
      <c r="C137">
        <v>0.98519999999999996</v>
      </c>
      <c r="D137">
        <v>0.98519999999999996</v>
      </c>
      <c r="E137">
        <v>2.6989999999999998</v>
      </c>
      <c r="F137">
        <v>7.5629999999999997</v>
      </c>
      <c r="G137">
        <v>1.8</v>
      </c>
      <c r="H137" s="7">
        <v>9.3049999999999997</v>
      </c>
      <c r="I137">
        <v>9.3049999999999997</v>
      </c>
      <c r="J137">
        <f t="shared" si="15"/>
        <v>0.94</v>
      </c>
      <c r="K137" s="8">
        <f t="shared" si="16"/>
        <v>2.08</v>
      </c>
      <c r="L137" s="8">
        <f t="shared" si="17"/>
        <v>6.6999999999999993</v>
      </c>
      <c r="M137" s="8">
        <f t="shared" si="18"/>
        <v>6.6999999999999993</v>
      </c>
      <c r="N137" s="8">
        <f t="shared" si="19"/>
        <v>2.8571428571428572</v>
      </c>
      <c r="O137" s="8">
        <f>Table3[[#This Row],[N]]/($Y$100+$Y$95)</f>
        <v>4.6979865771812079</v>
      </c>
      <c r="P137" s="8">
        <f t="shared" si="20"/>
        <v>4.166666666666667</v>
      </c>
      <c r="Q137" s="8">
        <f t="shared" si="21"/>
        <v>2.8571428571428572</v>
      </c>
      <c r="R137" s="8">
        <f t="shared" si="22"/>
        <v>2.8571428571428572</v>
      </c>
    </row>
    <row r="138" spans="1:18" x14ac:dyDescent="0.2">
      <c r="A138">
        <v>43</v>
      </c>
      <c r="B138">
        <v>8.4010000000000001E-2</v>
      </c>
      <c r="C138">
        <v>1.0309999999999999</v>
      </c>
      <c r="D138">
        <v>1.0309999999999999</v>
      </c>
      <c r="E138">
        <v>2.7069999999999999</v>
      </c>
      <c r="F138">
        <v>7.8860000000000001</v>
      </c>
      <c r="G138">
        <v>1.819</v>
      </c>
      <c r="H138" s="7">
        <v>9.7629999999999999</v>
      </c>
      <c r="I138">
        <v>9.7629999999999999</v>
      </c>
      <c r="J138">
        <f t="shared" si="15"/>
        <v>0.94</v>
      </c>
      <c r="K138" s="8">
        <f t="shared" si="16"/>
        <v>2.3200000000000003</v>
      </c>
      <c r="L138" s="8">
        <f t="shared" si="17"/>
        <v>7.0499999999999989</v>
      </c>
      <c r="M138" s="8">
        <f t="shared" si="18"/>
        <v>7.0499999999999989</v>
      </c>
      <c r="N138" s="8">
        <f t="shared" si="19"/>
        <v>2.8571428571428572</v>
      </c>
      <c r="O138" s="8">
        <f>Table3[[#This Row],[N]]/($Y$100+$Y$95)</f>
        <v>4.809843400447428</v>
      </c>
      <c r="P138" s="8">
        <f t="shared" si="20"/>
        <v>4.166666666666667</v>
      </c>
      <c r="Q138" s="8">
        <f t="shared" si="21"/>
        <v>2.8571428571428572</v>
      </c>
      <c r="R138" s="8">
        <f t="shared" si="22"/>
        <v>2.8571428571428572</v>
      </c>
    </row>
    <row r="139" spans="1:18" x14ac:dyDescent="0.2">
      <c r="A139">
        <v>44</v>
      </c>
      <c r="B139">
        <v>8.4580000000000002E-2</v>
      </c>
      <c r="C139">
        <v>1.0760000000000001</v>
      </c>
      <c r="D139">
        <v>1.0760000000000001</v>
      </c>
      <c r="E139">
        <v>2.714</v>
      </c>
      <c r="F139">
        <v>8.2110000000000003</v>
      </c>
      <c r="G139">
        <v>1.837</v>
      </c>
      <c r="H139" s="7">
        <v>10.220000000000001</v>
      </c>
      <c r="I139">
        <v>10.220000000000001</v>
      </c>
      <c r="J139">
        <f t="shared" si="15"/>
        <v>0.94</v>
      </c>
      <c r="K139" s="8">
        <f t="shared" si="16"/>
        <v>2.5599999999999987</v>
      </c>
      <c r="L139" s="8">
        <f t="shared" si="17"/>
        <v>7.3999999999999986</v>
      </c>
      <c r="M139" s="8">
        <f t="shared" si="18"/>
        <v>7.3999999999999986</v>
      </c>
      <c r="N139" s="8">
        <f t="shared" si="19"/>
        <v>2.8571428571428572</v>
      </c>
      <c r="O139" s="8">
        <f>Table3[[#This Row],[N]]/($Y$100+$Y$95)</f>
        <v>4.9217002237136471</v>
      </c>
      <c r="P139" s="8">
        <f t="shared" si="20"/>
        <v>4.166666666666667</v>
      </c>
      <c r="Q139" s="8">
        <f t="shared" si="21"/>
        <v>2.8571428571428572</v>
      </c>
      <c r="R139" s="8">
        <f t="shared" si="22"/>
        <v>2.8571428571428572</v>
      </c>
    </row>
    <row r="140" spans="1:18" x14ac:dyDescent="0.2">
      <c r="A140">
        <v>45</v>
      </c>
      <c r="B140">
        <v>8.5099999999999995E-2</v>
      </c>
      <c r="C140">
        <v>1.1220000000000001</v>
      </c>
      <c r="D140">
        <v>1.1220000000000001</v>
      </c>
      <c r="E140">
        <v>2.7210000000000001</v>
      </c>
      <c r="F140">
        <v>8.5380000000000003</v>
      </c>
      <c r="G140">
        <v>1.8520000000000001</v>
      </c>
      <c r="H140" s="7">
        <v>10.69</v>
      </c>
      <c r="I140">
        <v>10.69</v>
      </c>
      <c r="J140">
        <f t="shared" si="15"/>
        <v>0.94</v>
      </c>
      <c r="K140" s="8">
        <f t="shared" si="16"/>
        <v>2.7999999999999989</v>
      </c>
      <c r="L140" s="8">
        <f t="shared" si="17"/>
        <v>7.7499999999999982</v>
      </c>
      <c r="M140" s="8">
        <f t="shared" si="18"/>
        <v>7.7499999999999982</v>
      </c>
      <c r="N140" s="8">
        <f t="shared" si="19"/>
        <v>2.8571428571428572</v>
      </c>
      <c r="O140" s="8">
        <f>Table3[[#This Row],[N]]/($Y$100+$Y$95)</f>
        <v>5.0335570469798663</v>
      </c>
      <c r="P140" s="8">
        <f t="shared" si="20"/>
        <v>4.166666666666667</v>
      </c>
      <c r="Q140" s="8">
        <f t="shared" si="21"/>
        <v>2.8571428571428572</v>
      </c>
      <c r="R140" s="8">
        <f t="shared" si="22"/>
        <v>2.8571428571428572</v>
      </c>
    </row>
    <row r="141" spans="1:18" x14ac:dyDescent="0.2">
      <c r="A141">
        <v>46</v>
      </c>
      <c r="B141">
        <v>8.5569999999999993E-2</v>
      </c>
      <c r="C141">
        <v>1.169</v>
      </c>
      <c r="D141">
        <v>1.169</v>
      </c>
      <c r="E141">
        <v>2.7269999999999999</v>
      </c>
      <c r="F141">
        <v>8.8670000000000009</v>
      </c>
      <c r="G141">
        <v>1.867</v>
      </c>
      <c r="H141" s="7">
        <v>11.16</v>
      </c>
      <c r="I141">
        <v>11.16</v>
      </c>
      <c r="J141">
        <f t="shared" si="15"/>
        <v>0.94</v>
      </c>
      <c r="K141" s="8">
        <f t="shared" si="16"/>
        <v>3.0399999999999991</v>
      </c>
      <c r="L141" s="8">
        <f t="shared" si="17"/>
        <v>8.0999999999999979</v>
      </c>
      <c r="M141" s="8">
        <f t="shared" si="18"/>
        <v>8.0999999999999979</v>
      </c>
      <c r="N141" s="8">
        <f t="shared" si="19"/>
        <v>2.8571428571428572</v>
      </c>
      <c r="O141" s="8">
        <f>Table3[[#This Row],[N]]/($Y$100+$Y$95)</f>
        <v>5.1454138702460854</v>
      </c>
      <c r="P141" s="8">
        <f t="shared" si="20"/>
        <v>4.166666666666667</v>
      </c>
      <c r="Q141" s="8">
        <f t="shared" si="21"/>
        <v>2.8571428571428572</v>
      </c>
      <c r="R141" s="8">
        <f t="shared" si="22"/>
        <v>2.8571428571428572</v>
      </c>
    </row>
    <row r="142" spans="1:18" x14ac:dyDescent="0.2">
      <c r="A142">
        <v>47</v>
      </c>
      <c r="B142">
        <v>8.6010000000000003E-2</v>
      </c>
      <c r="C142">
        <v>1.216</v>
      </c>
      <c r="D142">
        <v>1.216</v>
      </c>
      <c r="E142">
        <v>2.7330000000000001</v>
      </c>
      <c r="F142">
        <v>9.1989999999999998</v>
      </c>
      <c r="G142">
        <v>1.88</v>
      </c>
      <c r="H142" s="7">
        <v>11.63</v>
      </c>
      <c r="I142">
        <v>11.63</v>
      </c>
      <c r="J142">
        <f t="shared" si="15"/>
        <v>0.94</v>
      </c>
      <c r="K142" s="8">
        <f t="shared" si="16"/>
        <v>3.2799999999999994</v>
      </c>
      <c r="L142" s="8">
        <f t="shared" si="17"/>
        <v>8.4499999999999993</v>
      </c>
      <c r="M142" s="8">
        <f t="shared" si="18"/>
        <v>8.4499999999999993</v>
      </c>
      <c r="N142" s="8">
        <f t="shared" si="19"/>
        <v>2.8571428571428572</v>
      </c>
      <c r="O142" s="8">
        <f>Table3[[#This Row],[N]]/($Y$100+$Y$95)</f>
        <v>5.2572706935123046</v>
      </c>
      <c r="P142" s="8">
        <f t="shared" si="20"/>
        <v>4.166666666666667</v>
      </c>
      <c r="Q142" s="8">
        <f t="shared" si="21"/>
        <v>2.8571428571428572</v>
      </c>
      <c r="R142" s="8">
        <f t="shared" si="22"/>
        <v>2.8571428571428572</v>
      </c>
    </row>
    <row r="143" spans="1:18" x14ac:dyDescent="0.2">
      <c r="A143">
        <v>48</v>
      </c>
      <c r="B143">
        <v>8.6410000000000001E-2</v>
      </c>
      <c r="C143">
        <v>1.2629999999999999</v>
      </c>
      <c r="D143">
        <v>1.2629999999999999</v>
      </c>
      <c r="E143">
        <v>2.738</v>
      </c>
      <c r="F143">
        <v>9.5310000000000006</v>
      </c>
      <c r="G143">
        <v>1.893</v>
      </c>
      <c r="H143" s="7">
        <v>12.1</v>
      </c>
      <c r="I143">
        <v>12.1</v>
      </c>
      <c r="J143">
        <f t="shared" si="15"/>
        <v>0.94</v>
      </c>
      <c r="K143" s="8">
        <f t="shared" si="16"/>
        <v>3.5199999999999996</v>
      </c>
      <c r="L143" s="8">
        <f t="shared" si="17"/>
        <v>8.7999999999999972</v>
      </c>
      <c r="M143" s="8">
        <f t="shared" si="18"/>
        <v>8.7999999999999972</v>
      </c>
      <c r="N143" s="8">
        <f t="shared" si="19"/>
        <v>2.8571428571428572</v>
      </c>
      <c r="O143" s="8">
        <f>Table3[[#This Row],[N]]/($Y$100+$Y$95)</f>
        <v>5.3691275167785237</v>
      </c>
      <c r="P143" s="8">
        <f t="shared" si="20"/>
        <v>4.166666666666667</v>
      </c>
      <c r="Q143" s="8">
        <f t="shared" si="21"/>
        <v>2.8571428571428572</v>
      </c>
      <c r="R143" s="8">
        <f t="shared" si="22"/>
        <v>2.8571428571428572</v>
      </c>
    </row>
    <row r="144" spans="1:18" x14ac:dyDescent="0.2">
      <c r="A144">
        <v>49</v>
      </c>
      <c r="B144">
        <v>8.6779999999999996E-2</v>
      </c>
      <c r="C144">
        <v>1.31</v>
      </c>
      <c r="D144">
        <v>1.31</v>
      </c>
      <c r="E144">
        <v>2.7429999999999999</v>
      </c>
      <c r="F144">
        <v>9.8659999999999997</v>
      </c>
      <c r="G144">
        <v>1.9039999999999999</v>
      </c>
      <c r="H144" s="7">
        <v>12.58</v>
      </c>
      <c r="I144">
        <v>12.58</v>
      </c>
      <c r="J144">
        <f t="shared" si="15"/>
        <v>0.94</v>
      </c>
      <c r="K144" s="8">
        <f t="shared" si="16"/>
        <v>3.76</v>
      </c>
      <c r="L144" s="8">
        <f t="shared" si="17"/>
        <v>9.1499999999999986</v>
      </c>
      <c r="M144" s="8">
        <f t="shared" si="18"/>
        <v>9.1499999999999986</v>
      </c>
      <c r="N144" s="8">
        <f t="shared" si="19"/>
        <v>2.8571428571428572</v>
      </c>
      <c r="O144" s="8">
        <f>Table3[[#This Row],[N]]/($Y$100+$Y$95)</f>
        <v>5.4809843400447429</v>
      </c>
      <c r="P144" s="8">
        <f t="shared" si="20"/>
        <v>4.166666666666667</v>
      </c>
      <c r="Q144" s="8">
        <f t="shared" si="21"/>
        <v>2.8571428571428572</v>
      </c>
      <c r="R144" s="8">
        <f t="shared" si="22"/>
        <v>2.8571428571428572</v>
      </c>
    </row>
    <row r="145" spans="1:18" x14ac:dyDescent="0.2">
      <c r="A145">
        <v>50</v>
      </c>
      <c r="B145">
        <v>8.7120000000000003E-2</v>
      </c>
      <c r="C145">
        <v>1.3580000000000001</v>
      </c>
      <c r="D145">
        <v>1.3580000000000001</v>
      </c>
      <c r="E145">
        <v>2.7469999999999999</v>
      </c>
      <c r="F145">
        <v>10.199999999999999</v>
      </c>
      <c r="G145">
        <v>1.915</v>
      </c>
      <c r="H145" s="7">
        <v>13.05</v>
      </c>
      <c r="I145">
        <v>13.05</v>
      </c>
      <c r="J145">
        <f t="shared" si="15"/>
        <v>0.94</v>
      </c>
      <c r="K145" s="8">
        <f t="shared" si="16"/>
        <v>4</v>
      </c>
      <c r="L145" s="8">
        <f t="shared" si="17"/>
        <v>9.5</v>
      </c>
      <c r="M145" s="8">
        <f t="shared" si="18"/>
        <v>9.5</v>
      </c>
      <c r="N145" s="8">
        <f t="shared" si="19"/>
        <v>2.8571428571428572</v>
      </c>
      <c r="O145" s="8">
        <f>Table3[[#This Row],[N]]/($Y$100+$Y$95)</f>
        <v>5.592841163310962</v>
      </c>
      <c r="P145" s="8">
        <f t="shared" si="20"/>
        <v>4.166666666666667</v>
      </c>
      <c r="Q145" s="8">
        <f t="shared" si="21"/>
        <v>2.8571428571428572</v>
      </c>
      <c r="R145" s="8">
        <f t="shared" si="22"/>
        <v>2.8571428571428572</v>
      </c>
    </row>
    <row r="146" spans="1:18" x14ac:dyDescent="0.2">
      <c r="H146" s="7"/>
    </row>
    <row r="147" spans="1:18" x14ac:dyDescent="0.2">
      <c r="H147" s="7"/>
    </row>
    <row r="148" spans="1:18" x14ac:dyDescent="0.2">
      <c r="H148" s="7"/>
    </row>
    <row r="149" spans="1:18" x14ac:dyDescent="0.2">
      <c r="H149" s="7"/>
    </row>
    <row r="150" spans="1:18" x14ac:dyDescent="0.2">
      <c r="H150" s="7"/>
    </row>
    <row r="151" spans="1:18" x14ac:dyDescent="0.2">
      <c r="H151" s="7"/>
    </row>
    <row r="152" spans="1:18" x14ac:dyDescent="0.2">
      <c r="H152" s="7"/>
    </row>
    <row r="153" spans="1:18" x14ac:dyDescent="0.2">
      <c r="H153" s="7"/>
    </row>
    <row r="154" spans="1:18" x14ac:dyDescent="0.2">
      <c r="H154" s="7"/>
    </row>
    <row r="155" spans="1:18" x14ac:dyDescent="0.2">
      <c r="H155" s="7"/>
    </row>
    <row r="156" spans="1:18" x14ac:dyDescent="0.2">
      <c r="H156" s="7"/>
    </row>
  </sheetData>
  <pageMargins left="0.7" right="0.7" top="0.75" bottom="0.75" header="0.3" footer="0.3"/>
  <pageSetup paperSize="9" orientation="portrait" horizontalDpi="0" verticalDpi="0"/>
  <ignoredErrors>
    <ignoredError sqref="E52:E53 Y99:Y100" formulaRange="1"/>
  </ignoredErrors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Serafi Nebot Ginard</dc:creator>
  <cp:lastModifiedBy>Serafi Nebot Ginard</cp:lastModifiedBy>
  <dcterms:created xsi:type="dcterms:W3CDTF">2025-05-03T09:52:08Z</dcterms:created>
  <dcterms:modified xsi:type="dcterms:W3CDTF">2025-05-05T12:46:08Z</dcterms:modified>
</cp:coreProperties>
</file>